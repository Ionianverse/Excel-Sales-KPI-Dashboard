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umesh\OneDrive\Desktop\Excel-Sales-KPI-Dashboard\"/>
    </mc:Choice>
  </mc:AlternateContent>
  <xr:revisionPtr revIDLastSave="0" documentId="13_ncr:1_{B2FA4096-A924-4CA4-AE4A-400595E1BAA4}" xr6:coauthVersionLast="47" xr6:coauthVersionMax="47" xr10:uidLastSave="{00000000-0000-0000-0000-000000000000}"/>
  <bookViews>
    <workbookView xWindow="-108" yWindow="-108" windowWidth="23256" windowHeight="12456" activeTab="6" xr2:uid="{00000000-000D-0000-FFFF-FFFF00000000}"/>
  </bookViews>
  <sheets>
    <sheet name="Raw_Data" sheetId="2" r:id="rId1"/>
    <sheet name="Sheet1" sheetId="17" state="hidden" r:id="rId2"/>
    <sheet name="Pie_Chart" sheetId="15" state="hidden" r:id="rId3"/>
    <sheet name="Line_Chart" sheetId="14" state="hidden" r:id="rId4"/>
    <sheet name="Bar_Chart" sheetId="13" state="hidden" r:id="rId5"/>
    <sheet name="Column_Chart" sheetId="11" state="hidden" r:id="rId6"/>
    <sheet name="Dashboard" sheetId="16" r:id="rId7"/>
  </sheets>
  <definedNames>
    <definedName name="_xlcn.WorksheetConnection_Practice.xlsxKPI_Data" hidden="1">KPI_Data[]</definedName>
    <definedName name="ExternalData_1" localSheetId="0" hidden="1">Raw_Data!$A$1:$R$200</definedName>
    <definedName name="Slicer_Region">#N/A</definedName>
    <definedName name="Timeline_Date">#N/A</definedName>
  </definedNames>
  <calcPr calcId="191029"/>
  <pivotCaches>
    <pivotCache cacheId="0" r:id="rId8"/>
    <pivotCache cacheId="1" r:id="rId9"/>
    <pivotCache cacheId="2" r:id="rId10"/>
    <pivotCache cacheId="3" r:id="rId11"/>
  </pivotCaches>
  <extLst>
    <ext xmlns:x14="http://schemas.microsoft.com/office/spreadsheetml/2009/9/main" uri="{876F7934-8845-4945-9796-88D515C7AA90}">
      <x14:pivotCaches>
        <pivotCache cacheId="4"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14"/>
      </x15:timelineCachePivotCaches>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KPI_Data" name="KPI_Data" connection="WorksheetConnection_Practice.xlsx!KPI_Data"/>
        </x15:modelTables>
        <x15:extLst>
          <ext xmlns:x16="http://schemas.microsoft.com/office/spreadsheetml/2014/11/main" uri="{9835A34E-60A6-4A7C-AAB8-D5F71C897F49}">
            <x16:modelTimeGroupings>
              <x16:modelTimeGrouping tableName="KPI_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16" l="1"/>
  <c r="D6" i="16"/>
  <c r="M6"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BC24AD-A0F1-4496-9062-C4560250B265}" name="Excel Section_5_PivotTable_Visual" type="100" refreshedVersion="0">
    <extLst>
      <ext xmlns:x15="http://schemas.microsoft.com/office/spreadsheetml/2010/11/main" uri="{DE250136-89BD-433C-8126-D09CA5730AF9}">
        <x15:connection id="c4bfe507-85cb-48c2-9029-8cf96e33ea69"/>
      </ext>
    </extLst>
  </connection>
  <connection id="2" xr16:uid="{BE09AE76-1CB8-4C86-9D72-2C865211EB17}" keepAlive="1" name="Query - KPI_Data" description="Connection to the 'KPI_Data' query in the workbook." type="5" refreshedVersion="8" background="1" saveData="1">
    <dbPr connection="Provider=Microsoft.Mashup.OleDb.1;Data Source=$Workbook$;Location=KPI_Data;Extended Properties=&quot;&quot;" command="SELECT * FROM [KPI_Data]"/>
  </connection>
  <connection id="3" xr16:uid="{8956D107-978C-412B-B798-241CC98DF16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5A3289BA-7C33-4D9D-B224-EF0EA7F980D8}" name="WorksheetConnection_Practice.xlsx!KPI_Data" type="102" refreshedVersion="8" minRefreshableVersion="5">
    <extLst>
      <ext xmlns:x15="http://schemas.microsoft.com/office/spreadsheetml/2010/11/main" uri="{DE250136-89BD-433C-8126-D09CA5730AF9}">
        <x15:connection id="KPI_Data" autoDelete="1">
          <x15:rangePr sourceName="_xlcn.WorksheetConnection_Practice.xlsxKPI_Data"/>
        </x15:connection>
      </ext>
    </extLst>
  </connection>
</connections>
</file>

<file path=xl/sharedStrings.xml><?xml version="1.0" encoding="utf-8"?>
<sst xmlns="http://schemas.openxmlformats.org/spreadsheetml/2006/main" count="1054" uniqueCount="63">
  <si>
    <t>SaleID</t>
  </si>
  <si>
    <t>Region</t>
  </si>
  <si>
    <t>Category</t>
  </si>
  <si>
    <t>Product</t>
  </si>
  <si>
    <t>Date</t>
  </si>
  <si>
    <t>Quantity</t>
  </si>
  <si>
    <t>UnitPrice</t>
  </si>
  <si>
    <t>Sales</t>
  </si>
  <si>
    <t>Target</t>
  </si>
  <si>
    <t>Year</t>
  </si>
  <si>
    <t>Quarter</t>
  </si>
  <si>
    <t>Month</t>
  </si>
  <si>
    <t>Target_Left</t>
  </si>
  <si>
    <t>Column14</t>
  </si>
  <si>
    <t>Checkbox</t>
  </si>
  <si>
    <t>Dropdown</t>
  </si>
  <si>
    <t>Column17</t>
  </si>
  <si>
    <t>Column18</t>
  </si>
  <si>
    <t>East</t>
  </si>
  <si>
    <t>Electronics</t>
  </si>
  <si>
    <t>Laptop</t>
  </si>
  <si>
    <t>2023Q2</t>
  </si>
  <si>
    <t>May</t>
  </si>
  <si>
    <t>West</t>
  </si>
  <si>
    <t>Books</t>
  </si>
  <si>
    <t>Fiction</t>
  </si>
  <si>
    <t>2023Q1</t>
  </si>
  <si>
    <t>January</t>
  </si>
  <si>
    <t>North</t>
  </si>
  <si>
    <t>Furniture</t>
  </si>
  <si>
    <t>Sofa</t>
  </si>
  <si>
    <t>2023Q4</t>
  </si>
  <si>
    <t>October</t>
  </si>
  <si>
    <t>Table</t>
  </si>
  <si>
    <t>South</t>
  </si>
  <si>
    <t>Clothing</t>
  </si>
  <si>
    <t>Pants</t>
  </si>
  <si>
    <t>April</t>
  </si>
  <si>
    <t>Food</t>
  </si>
  <si>
    <t>Bread</t>
  </si>
  <si>
    <t>June</t>
  </si>
  <si>
    <t>Fruits</t>
  </si>
  <si>
    <t>2023Q3</t>
  </si>
  <si>
    <t>July</t>
  </si>
  <si>
    <t>Science</t>
  </si>
  <si>
    <t>December</t>
  </si>
  <si>
    <t>Shirt</t>
  </si>
  <si>
    <t>February</t>
  </si>
  <si>
    <t>Headphones</t>
  </si>
  <si>
    <t>Milk</t>
  </si>
  <si>
    <t>Chair</t>
  </si>
  <si>
    <t>History</t>
  </si>
  <si>
    <t>March</t>
  </si>
  <si>
    <t>August</t>
  </si>
  <si>
    <t>Jacket</t>
  </si>
  <si>
    <t>September</t>
  </si>
  <si>
    <t>November</t>
  </si>
  <si>
    <t>Smartphone</t>
  </si>
  <si>
    <t>Grand Total</t>
  </si>
  <si>
    <t>Sum of Sales</t>
  </si>
  <si>
    <t>TotalProfit</t>
  </si>
  <si>
    <t>Sales Performance Dashboard</t>
  </si>
  <si>
    <t>Date_Time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</si>
</sst>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h\.mm"/>
    <numFmt numFmtId="165" formatCode="_-[$$-409]* #,##0.00_ ;_-[$$-409]* \-#,##0.00\ ;_-[$$-409]* &quot;-&quot;??_ ;_-@_ "/>
    <numFmt numFmtId="166" formatCode="&quot;₹&quot;\ #,##0.00;#,##0.00\ \-&quot;₹&quot;;&quot;₹&quot;\ #,##0.00"/>
    <numFmt numFmtId="167" formatCode="&quot;₹&quot;\ #,##0.00"/>
  </numFmts>
  <fonts count="2" x14ac:knownFonts="1">
    <font>
      <sz val="11"/>
      <color theme="1"/>
      <name val="Calibri"/>
      <family val="2"/>
      <scheme val="minor"/>
    </font>
    <font>
      <b/>
      <sz val="20"/>
      <color theme="0"/>
      <name val="Calibri"/>
      <family val="2"/>
      <scheme val="minor"/>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rgb="FF002060"/>
      </left>
      <right/>
      <top/>
      <bottom/>
      <diagonal/>
    </border>
  </borders>
  <cellStyleXfs count="1">
    <xf numFmtId="0" fontId="0" fillId="0" borderId="0"/>
  </cellStyleXfs>
  <cellXfs count="9">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0" fillId="0" borderId="1" xfId="0" applyBorder="1"/>
    <xf numFmtId="0" fontId="1" fillId="2" borderId="0" xfId="0" applyFont="1" applyFill="1" applyAlignment="1">
      <alignment horizontal="center" vertical="center"/>
    </xf>
  </cellXfs>
  <cellStyles count="1">
    <cellStyle name="Normal" xfId="0" builtinId="0"/>
  </cellStyles>
  <dxfs count="10">
    <dxf>
      <font>
        <color rgb="FF065F46"/>
      </font>
      <fill>
        <patternFill>
          <bgColor rgb="FFD1FAE5"/>
        </patternFill>
      </fill>
    </dxf>
    <dxf>
      <font>
        <color rgb="FF991B1B"/>
      </font>
      <fill>
        <patternFill>
          <bgColor rgb="FFFEE2E2"/>
        </patternFill>
      </fill>
    </dxf>
    <dxf>
      <numFmt numFmtId="0" formatCode="General"/>
    </dxf>
    <dxf>
      <numFmt numFmtId="0" formatCode="General"/>
    </dxf>
    <dxf>
      <numFmt numFmtId="0" formatCode="General"/>
    </dxf>
    <dxf>
      <numFmt numFmtId="165" formatCode="_-[$$-409]* #,##0.00_ ;_-[$$-409]* \-#,##0.00\ ;_-[$$-409]* &quot;-&quot;??_ ;_-@_ "/>
    </dxf>
    <dxf>
      <numFmt numFmtId="164" formatCode="dd/mm/yyyy\ h\.mm"/>
    </dxf>
    <dxf>
      <numFmt numFmtId="0" formatCode="General"/>
    </dxf>
    <dxf>
      <numFmt numFmtId="0" formatCode="General"/>
    </dxf>
    <dxf>
      <numFmt numFmtId="0" formatCode="General"/>
    </dxf>
  </dxfs>
  <tableStyles count="0" defaultTableStyle="TableStyleMedium2" defaultPivotStyle="PivotStyleLight16"/>
  <colors>
    <mruColors>
      <color rgb="FF3B82F6"/>
      <color rgb="FF1F3A5F"/>
      <color rgb="FFE6EEF6"/>
      <color rgb="FFD1FAE5"/>
      <color rgb="FF065F46"/>
      <color rgb="FF991B1B"/>
      <color rgb="FFFEE2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6.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[Excel_Sales_Performance_Dashboard.xlsx]Pie_Chart!PivotTable12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Pie_Chart!$C$3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32-4C28-8E55-4BA035AF72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32-4C28-8E55-4BA035AF72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32-4C28-8E55-4BA035AF72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32-4C28-8E55-4BA035AF72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32-4C28-8E55-4BA035AF726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Pie_Chart!$B$4:$B$9</c:f>
              <c:strCache>
                <c:ptCount val="5"/>
                <c:pt idx="0">
                  <c:v>Books</c:v>
                </c:pt>
                <c:pt idx="1">
                  <c:v>Clothing</c:v>
                </c:pt>
                <c:pt idx="2">
                  <c:v>Electronics</c:v>
                </c:pt>
                <c:pt idx="3">
                  <c:v>Food</c:v>
                </c:pt>
                <c:pt idx="4">
                  <c:v>Furniture</c:v>
                </c:pt>
              </c:strCache>
            </c:strRef>
          </c:cat>
          <c:val>
            <c:numRef>
              <c:f>Pie_Chart!$C$4:$C$9</c:f>
              <c:numCache>
                <c:formatCode>"₹"\ #,##0.00;#,##0.00\ \-"₹";"₹"\ #,##0.00</c:formatCode>
                <c:ptCount val="5"/>
                <c:pt idx="0">
                  <c:v>128379</c:v>
                </c:pt>
                <c:pt idx="1">
                  <c:v>104525</c:v>
                </c:pt>
                <c:pt idx="2">
                  <c:v>124242</c:v>
                </c:pt>
                <c:pt idx="3">
                  <c:v>155146</c:v>
                </c:pt>
                <c:pt idx="4">
                  <c:v>90707</c:v>
                </c:pt>
              </c:numCache>
            </c:numRef>
          </c:val>
          <c:extLst>
            <c:ext xmlns:c16="http://schemas.microsoft.com/office/drawing/2014/chart" uri="{C3380CC4-5D6E-409C-BE32-E72D297353CC}">
              <c16:uniqueId val="{00000002-E53B-4BDB-88A1-CCC770A2BF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a:glow rad="50800">
        <a:schemeClr val="accent2"/>
      </a:glo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[Excel_Sales_Performance_Dashboard.xlsx]Line_Chart!PivotTable11</c:name>
    <c:fmtId val="0"/>
  </c:pivotSource>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Line_Chart!$C$3</c:f>
              <c:strCache>
                <c:ptCount val="1"/>
                <c:pt idx="0">
                  <c:v>Total</c:v>
                </c:pt>
              </c:strCache>
            </c:strRef>
          </c:tx>
          <c:spPr>
            <a:ln w="28575" cap="rnd">
              <a:solidFill>
                <a:schemeClr val="accent1"/>
              </a:solidFill>
              <a:round/>
            </a:ln>
            <a:effectLst/>
          </c:spPr>
          <c:marker>
            <c:symbol val="none"/>
          </c:marker>
          <c:cat>
            <c:strRef>
              <c:f>Line_Chart!$B$4:$B$16</c:f>
              <c:strCache>
                <c:ptCount val="12"/>
                <c:pt idx="0">
                  <c:v>February</c:v>
                </c:pt>
                <c:pt idx="1">
                  <c:v>January</c:v>
                </c:pt>
                <c:pt idx="2">
                  <c:v>March</c:v>
                </c:pt>
                <c:pt idx="3">
                  <c:v>April</c:v>
                </c:pt>
                <c:pt idx="4">
                  <c:v>June</c:v>
                </c:pt>
                <c:pt idx="5">
                  <c:v>May</c:v>
                </c:pt>
                <c:pt idx="6">
                  <c:v>August</c:v>
                </c:pt>
                <c:pt idx="7">
                  <c:v>July</c:v>
                </c:pt>
                <c:pt idx="8">
                  <c:v>September</c:v>
                </c:pt>
                <c:pt idx="9">
                  <c:v>December</c:v>
                </c:pt>
                <c:pt idx="10">
                  <c:v>November</c:v>
                </c:pt>
                <c:pt idx="11">
                  <c:v>October</c:v>
                </c:pt>
              </c:strCache>
            </c:strRef>
          </c:cat>
          <c:val>
            <c:numRef>
              <c:f>Line_Chart!$C$4:$C$16</c:f>
              <c:numCache>
                <c:formatCode>"₹"\ #,##0.00;#,##0.00\ \-"₹";"₹"\ #,##0.00</c:formatCode>
                <c:ptCount val="12"/>
                <c:pt idx="0">
                  <c:v>44262</c:v>
                </c:pt>
                <c:pt idx="1">
                  <c:v>21018</c:v>
                </c:pt>
                <c:pt idx="2">
                  <c:v>17758</c:v>
                </c:pt>
                <c:pt idx="3">
                  <c:v>46742</c:v>
                </c:pt>
                <c:pt idx="4">
                  <c:v>75772</c:v>
                </c:pt>
                <c:pt idx="5">
                  <c:v>53300</c:v>
                </c:pt>
                <c:pt idx="6">
                  <c:v>68355</c:v>
                </c:pt>
                <c:pt idx="7">
                  <c:v>47314</c:v>
                </c:pt>
                <c:pt idx="8">
                  <c:v>30513</c:v>
                </c:pt>
                <c:pt idx="9">
                  <c:v>78071</c:v>
                </c:pt>
                <c:pt idx="10">
                  <c:v>71280</c:v>
                </c:pt>
                <c:pt idx="11">
                  <c:v>48614</c:v>
                </c:pt>
              </c:numCache>
            </c:numRef>
          </c:val>
          <c:smooth val="0"/>
          <c:extLst>
            <c:ext xmlns:c16="http://schemas.microsoft.com/office/drawing/2014/chart" uri="{C3380CC4-5D6E-409C-BE32-E72D297353CC}">
              <c16:uniqueId val="{00000000-85B3-44F7-BD74-D917FD11A45E}"/>
            </c:ext>
          </c:extLst>
        </c:ser>
        <c:dLbls>
          <c:showLegendKey val="0"/>
          <c:showVal val="0"/>
          <c:showCatName val="0"/>
          <c:showSerName val="0"/>
          <c:showPercent val="0"/>
          <c:showBubbleSize val="0"/>
        </c:dLbls>
        <c:smooth val="0"/>
        <c:axId val="437508544"/>
        <c:axId val="437510464"/>
      </c:lineChart>
      <c:catAx>
        <c:axId val="43750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437510464"/>
        <c:crosses val="autoZero"/>
        <c:auto val="1"/>
        <c:lblAlgn val="ctr"/>
        <c:lblOffset val="100"/>
        <c:noMultiLvlLbl val="0"/>
      </c:catAx>
      <c:valAx>
        <c:axId val="437510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43750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[Excel_Sales_Performance_Dashboard.xlsx]Bar_Chart!PivotTable10</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stacked"/>
        <c:varyColors val="0"/>
        <c:ser>
          <c:idx val="0"/>
          <c:order val="0"/>
          <c:tx>
            <c:strRef>
              <c:f>Bar_Chart!$C$3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Bar_Chart!$B$4:$B$8</c:f>
              <c:strCache>
                <c:ptCount val="4"/>
                <c:pt idx="0">
                  <c:v>East</c:v>
                </c:pt>
                <c:pt idx="1">
                  <c:v>North</c:v>
                </c:pt>
                <c:pt idx="2">
                  <c:v>South</c:v>
                </c:pt>
                <c:pt idx="3">
                  <c:v>West</c:v>
                </c:pt>
              </c:strCache>
            </c:strRef>
          </c:cat>
          <c:val>
            <c:numRef>
              <c:f>Bar_Chart!$C$4:$C$8</c:f>
              <c:numCache>
                <c:formatCode>"₹"\ #,##0.00;#,##0.00\ \-"₹";"₹"\ #,##0.00</c:formatCode>
                <c:ptCount val="4"/>
                <c:pt idx="0">
                  <c:v>152630.70000000001</c:v>
                </c:pt>
                <c:pt idx="1">
                  <c:v>116651.56</c:v>
                </c:pt>
                <c:pt idx="2">
                  <c:v>118731.08</c:v>
                </c:pt>
                <c:pt idx="3">
                  <c:v>106445.84</c:v>
                </c:pt>
              </c:numCache>
            </c:numRef>
          </c:val>
          <c:extLst>
            <c:ext xmlns:c16="http://schemas.microsoft.com/office/drawing/2014/chart" uri="{C3380CC4-5D6E-409C-BE32-E72D297353CC}">
              <c16:uniqueId val="{00000000-378C-4878-97DD-9BB058AD0F89}"/>
            </c:ext>
          </c:extLst>
        </c:ser>
        <c:dLbls>
          <c:showLegendKey val="0"/>
          <c:showVal val="0"/>
          <c:showCatName val="0"/>
          <c:showSerName val="0"/>
          <c:showPercent val="0"/>
          <c:showBubbleSize val="0"/>
        </c:dLbls>
        <c:gapWidth val="150"/>
        <c:overlap val="100"/>
        <c:axId val="1529497983"/>
        <c:axId val="1529481663"/>
      </c:barChart>
      <c:catAx>
        <c:axId val="15294979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81663"/>
        <c:crosses val="autoZero"/>
        <c:auto val="1"/>
        <c:lblAlgn val="ctr"/>
        <c:lblOffset val="100"/>
        <c:noMultiLvlLbl val="0"/>
      </c:catAx>
      <c:valAx>
        <c:axId val="15294816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9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38100">
        <a:schemeClr val="accent6">
          <a:lumMod val="60000"/>
          <a:lumOff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[Excel_Sales_Performance_Dashboard.xlsx]Column_Chart!PivotTable8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Column_Chart!$C$4</c:f>
              <c:strCache>
                <c:ptCount val="1"/>
                <c:pt idx="0">
                  <c:v>Total</c:v>
                </c:pt>
              </c:strCache>
            </c:strRef>
          </c:tx>
          <c:spPr>
            <a:solidFill>
              <a:schemeClr val="accent1"/>
            </a:solidFill>
            <a:ln>
              <a:noFill/>
            </a:ln>
            <a:effectLst/>
          </c:spPr>
          <c:invertIfNegative val="0"/>
          <c:cat>
            <c:strRef>
              <c:f>Column_Chart!$B$5:$B$9</c:f>
              <c:strCache>
                <c:ptCount val="4"/>
                <c:pt idx="0">
                  <c:v>East</c:v>
                </c:pt>
                <c:pt idx="1">
                  <c:v>North</c:v>
                </c:pt>
                <c:pt idx="2">
                  <c:v>South</c:v>
                </c:pt>
                <c:pt idx="3">
                  <c:v>West</c:v>
                </c:pt>
              </c:strCache>
            </c:strRef>
          </c:cat>
          <c:val>
            <c:numRef>
              <c:f>Column_Chart!$C$5:$C$9</c:f>
              <c:numCache>
                <c:formatCode>"₹"\ #,##0.00;#,##0.00\ \-"₹";"₹"\ #,##0.00</c:formatCode>
                <c:ptCount val="4"/>
                <c:pt idx="0">
                  <c:v>186135</c:v>
                </c:pt>
                <c:pt idx="1">
                  <c:v>142258</c:v>
                </c:pt>
                <c:pt idx="2">
                  <c:v>144794</c:v>
                </c:pt>
                <c:pt idx="3">
                  <c:v>129812</c:v>
                </c:pt>
              </c:numCache>
            </c:numRef>
          </c:val>
          <c:extLst>
            <c:ext xmlns:c16="http://schemas.microsoft.com/office/drawing/2014/chart" uri="{C3380CC4-5D6E-409C-BE32-E72D297353CC}">
              <c16:uniqueId val="{00000002-897F-4D04-AB31-D73FC8B1CF0E}"/>
            </c:ext>
          </c:extLst>
        </c:ser>
        <c:dLbls>
          <c:showLegendKey val="0"/>
          <c:showVal val="0"/>
          <c:showCatName val="0"/>
          <c:showSerName val="0"/>
          <c:showPercent val="0"/>
          <c:showBubbleSize val="0"/>
        </c:dLbls>
        <c:gapWidth val="150"/>
        <c:overlap val="100"/>
        <c:axId val="1529488863"/>
        <c:axId val="1529485023"/>
      </c:barChart>
      <c:catAx>
        <c:axId val="152948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85023"/>
        <c:crosses val="autoZero"/>
        <c:auto val="1"/>
        <c:lblAlgn val="ctr"/>
        <c:lblOffset val="100"/>
        <c:noMultiLvlLbl val="0"/>
      </c:catAx>
      <c:valAx>
        <c:axId val="1529485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8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[Excel_Sales_Performance_Dashboard.xlsx]Line_Chart!PivotTable11</c:name>
    <c:fmtId val="4"/>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600" b="1" i="0" u="none" strike="noStrike" baseline="0"/>
              <a:t>Revenue Trend Over Time</a:t>
            </a:r>
            <a:endParaRPr lang="en-IN" sz="1600" b="1"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Line_Chart!$C$3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Line_Chart!$B$4:$B$16</c:f>
              <c:strCache>
                <c:ptCount val="12"/>
                <c:pt idx="0">
                  <c:v>February</c:v>
                </c:pt>
                <c:pt idx="1">
                  <c:v>January</c:v>
                </c:pt>
                <c:pt idx="2">
                  <c:v>March</c:v>
                </c:pt>
                <c:pt idx="3">
                  <c:v>April</c:v>
                </c:pt>
                <c:pt idx="4">
                  <c:v>June</c:v>
                </c:pt>
                <c:pt idx="5">
                  <c:v>May</c:v>
                </c:pt>
                <c:pt idx="6">
                  <c:v>August</c:v>
                </c:pt>
                <c:pt idx="7">
                  <c:v>July</c:v>
                </c:pt>
                <c:pt idx="8">
                  <c:v>September</c:v>
                </c:pt>
                <c:pt idx="9">
                  <c:v>December</c:v>
                </c:pt>
                <c:pt idx="10">
                  <c:v>November</c:v>
                </c:pt>
                <c:pt idx="11">
                  <c:v>October</c:v>
                </c:pt>
              </c:strCache>
            </c:strRef>
          </c:cat>
          <c:val>
            <c:numRef>
              <c:f>Line_Chart!$C$4:$C$16</c:f>
              <c:numCache>
                <c:formatCode>"₹"\ #,##0.00;#,##0.00\ \-"₹";"₹"\ #,##0.00</c:formatCode>
                <c:ptCount val="12"/>
                <c:pt idx="0">
                  <c:v>44262</c:v>
                </c:pt>
                <c:pt idx="1">
                  <c:v>21018</c:v>
                </c:pt>
                <c:pt idx="2">
                  <c:v>17758</c:v>
                </c:pt>
                <c:pt idx="3">
                  <c:v>46742</c:v>
                </c:pt>
                <c:pt idx="4">
                  <c:v>75772</c:v>
                </c:pt>
                <c:pt idx="5">
                  <c:v>53300</c:v>
                </c:pt>
                <c:pt idx="6">
                  <c:v>68355</c:v>
                </c:pt>
                <c:pt idx="7">
                  <c:v>47314</c:v>
                </c:pt>
                <c:pt idx="8">
                  <c:v>30513</c:v>
                </c:pt>
                <c:pt idx="9">
                  <c:v>78071</c:v>
                </c:pt>
                <c:pt idx="10">
                  <c:v>71280</c:v>
                </c:pt>
                <c:pt idx="11">
                  <c:v>48614</c:v>
                </c:pt>
              </c:numCache>
            </c:numRef>
          </c:val>
          <c:smooth val="0"/>
          <c:extLst>
            <c:ext xmlns:c16="http://schemas.microsoft.com/office/drawing/2014/chart" uri="{C3380CC4-5D6E-409C-BE32-E72D297353CC}">
              <c16:uniqueId val="{00000000-C761-45C6-AA06-8C8172880016}"/>
            </c:ext>
          </c:extLst>
        </c:ser>
        <c:dLbls>
          <c:dLblPos val="t"/>
          <c:showLegendKey val="0"/>
          <c:showVal val="1"/>
          <c:showCatName val="0"/>
          <c:showSerName val="0"/>
          <c:showPercent val="0"/>
          <c:showBubbleSize val="0"/>
        </c:dLbls>
        <c:smooth val="0"/>
        <c:axId val="437508544"/>
        <c:axId val="437510464"/>
      </c:lineChart>
      <c:catAx>
        <c:axId val="437508544"/>
        <c:scaling>
          <c:orientation val="minMax"/>
        </c:scaling>
        <c:delete val="0"/>
        <c:axPos val="b"/>
        <c:numFmt formatCode="General" sourceLinked="1"/>
        <c:majorTickMark val="cross"/>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437510464"/>
        <c:crosses val="autoZero"/>
        <c:auto val="1"/>
        <c:lblAlgn val="ctr"/>
        <c:lblOffset val="50"/>
        <c:tickMarkSkip val="2"/>
        <c:noMultiLvlLbl val="0"/>
      </c:catAx>
      <c:valAx>
        <c:axId val="437510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437508544"/>
        <c:crosses val="autoZero"/>
        <c:crossBetween val="between"/>
        <c:dispUnits>
          <c:builtInUnit val="thousands"/>
          <c:dispUnitsLbl>
            <c:spPr>
              <a:noFill/>
              <a:ln>
                <a:noFill/>
              </a:ln>
              <a:effectLst/>
            </c:spPr>
            <c:txPr>
              <a:bodyPr rot="-54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[Excel_Sales_Performance_Dashboard.xlsx]Pie_Chart!PivotTable12</c:name>
    <c:fmtId val="11"/>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600" b="1" i="0" u="none" strike="noStrike" baseline="0"/>
              <a:t>Revenue Distribution by Category</a:t>
            </a:r>
            <a:endParaRPr lang="en-IN" sz="1600" b="1" i="0" u="none" strike="noStrike" kern="120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solidFill>
              <a:sysClr val="window" lastClr="FFFFFF"/>
            </a:solidFill>
            <a:ln>
              <a:gradFill>
                <a:gsLst>
                  <a:gs pos="0">
                    <a:srgbClr val="5B9BD5">
                      <a:lumMod val="5000"/>
                      <a:lumOff val="95000"/>
                    </a:srgbClr>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dLbl>
          <c:idx val="0"/>
          <c:layout>
            <c:manualLayout>
              <c:x val="-2.7765014377131629E-2"/>
              <c:y val="6.3781485943173677E-2"/>
            </c:manualLayout>
          </c:layout>
          <c:spPr>
            <a:solidFill>
              <a:sysClr val="window" lastClr="FFFFFF"/>
            </a:solidFill>
            <a:ln>
              <a:gradFill>
                <a:gsLst>
                  <a:gs pos="0">
                    <a:srgbClr val="5B9BD5">
                      <a:lumMod val="5000"/>
                      <a:lumOff val="95000"/>
                    </a:srgbClr>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493870375027469"/>
                  <c:h val="0.17881345590628051"/>
                </c:manualLayout>
              </c15:layout>
            </c:ext>
          </c:extLst>
        </c:dLbl>
      </c:pivotFmt>
    </c:pivotFmts>
    <c:plotArea>
      <c:layout/>
      <c:pieChart>
        <c:varyColors val="1"/>
        <c:ser>
          <c:idx val="0"/>
          <c:order val="0"/>
          <c:tx>
            <c:strRef>
              <c:f>Pie_Chart!$C$3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6F0C-4978-88FB-7FC67262CFEF}"/>
              </c:ext>
            </c:extLst>
          </c:dPt>
          <c:dPt>
            <c:idx val="1"/>
            <c:bubble3D val="0"/>
            <c:spPr>
              <a:solidFill>
                <a:schemeClr val="accent2"/>
              </a:solidFill>
              <a:ln w="19050">
                <a:noFill/>
              </a:ln>
              <a:effectLst/>
            </c:spPr>
            <c:extLst>
              <c:ext xmlns:c16="http://schemas.microsoft.com/office/drawing/2014/chart" uri="{C3380CC4-5D6E-409C-BE32-E72D297353CC}">
                <c16:uniqueId val="{00000003-6F0C-4978-88FB-7FC67262CFEF}"/>
              </c:ext>
            </c:extLst>
          </c:dPt>
          <c:dPt>
            <c:idx val="2"/>
            <c:bubble3D val="0"/>
            <c:spPr>
              <a:solidFill>
                <a:schemeClr val="accent3"/>
              </a:solidFill>
              <a:ln w="19050">
                <a:noFill/>
              </a:ln>
              <a:effectLst/>
            </c:spPr>
            <c:extLst>
              <c:ext xmlns:c16="http://schemas.microsoft.com/office/drawing/2014/chart" uri="{C3380CC4-5D6E-409C-BE32-E72D297353CC}">
                <c16:uniqueId val="{00000005-6F0C-4978-88FB-7FC67262CFEF}"/>
              </c:ext>
            </c:extLst>
          </c:dPt>
          <c:dPt>
            <c:idx val="3"/>
            <c:bubble3D val="0"/>
            <c:spPr>
              <a:solidFill>
                <a:schemeClr val="accent4"/>
              </a:solidFill>
              <a:ln w="19050">
                <a:noFill/>
              </a:ln>
              <a:effectLst/>
            </c:spPr>
            <c:extLst>
              <c:ext xmlns:c16="http://schemas.microsoft.com/office/drawing/2014/chart" uri="{C3380CC4-5D6E-409C-BE32-E72D297353CC}">
                <c16:uniqueId val="{00000007-6F0C-4978-88FB-7FC67262CFEF}"/>
              </c:ext>
            </c:extLst>
          </c:dPt>
          <c:dPt>
            <c:idx val="4"/>
            <c:bubble3D val="0"/>
            <c:spPr>
              <a:solidFill>
                <a:schemeClr val="accent5"/>
              </a:solidFill>
              <a:ln w="19050">
                <a:noFill/>
              </a:ln>
              <a:effectLst/>
            </c:spPr>
            <c:extLst>
              <c:ext xmlns:c16="http://schemas.microsoft.com/office/drawing/2014/chart" uri="{C3380CC4-5D6E-409C-BE32-E72D297353CC}">
                <c16:uniqueId val="{00000009-6F0C-4978-88FB-7FC67262CFEF}"/>
              </c:ext>
            </c:extLst>
          </c:dPt>
          <c:dLbls>
            <c:dLbl>
              <c:idx val="4"/>
              <c:layout>
                <c:manualLayout>
                  <c:x val="-2.7765014377131629E-2"/>
                  <c:y val="6.378148594317367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5493870375027469"/>
                      <c:h val="0.17881345590628051"/>
                    </c:manualLayout>
                  </c15:layout>
                </c:ext>
                <c:ext xmlns:c16="http://schemas.microsoft.com/office/drawing/2014/chart" uri="{C3380CC4-5D6E-409C-BE32-E72D297353CC}">
                  <c16:uniqueId val="{00000009-6F0C-4978-88FB-7FC67262CFEF}"/>
                </c:ext>
              </c:extLst>
            </c:dLbl>
            <c:spPr>
              <a:solidFill>
                <a:sysClr val="window" lastClr="FFFFFF"/>
              </a:solidFill>
              <a:ln>
                <a:gradFill>
                  <a:gsLst>
                    <a:gs pos="0">
                      <a:srgbClr val="5B9BD5">
                        <a:lumMod val="5000"/>
                        <a:lumOff val="95000"/>
                      </a:srgbClr>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Pie_Chart!$B$4:$B$9</c:f>
              <c:strCache>
                <c:ptCount val="5"/>
                <c:pt idx="0">
                  <c:v>Books</c:v>
                </c:pt>
                <c:pt idx="1">
                  <c:v>Clothing</c:v>
                </c:pt>
                <c:pt idx="2">
                  <c:v>Electronics</c:v>
                </c:pt>
                <c:pt idx="3">
                  <c:v>Food</c:v>
                </c:pt>
                <c:pt idx="4">
                  <c:v>Furniture</c:v>
                </c:pt>
              </c:strCache>
            </c:strRef>
          </c:cat>
          <c:val>
            <c:numRef>
              <c:f>Pie_Chart!$C$4:$C$9</c:f>
              <c:numCache>
                <c:formatCode>"₹"\ #,##0.00;#,##0.00\ \-"₹";"₹"\ #,##0.00</c:formatCode>
                <c:ptCount val="5"/>
                <c:pt idx="0">
                  <c:v>128379</c:v>
                </c:pt>
                <c:pt idx="1">
                  <c:v>104525</c:v>
                </c:pt>
                <c:pt idx="2">
                  <c:v>124242</c:v>
                </c:pt>
                <c:pt idx="3">
                  <c:v>155146</c:v>
                </c:pt>
                <c:pt idx="4">
                  <c:v>90707</c:v>
                </c:pt>
              </c:numCache>
            </c:numRef>
          </c:val>
          <c:extLst>
            <c:ext xmlns:c16="http://schemas.microsoft.com/office/drawing/2014/chart" uri="{C3380CC4-5D6E-409C-BE32-E72D297353CC}">
              <c16:uniqueId val="{0000000B-3057-4751-8F36-0E437B43C8D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50800">
        <a:schemeClr val="accent2"/>
      </a:glo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[Excel_Sales_Performance_Dashboard.xlsx]Column_Chart!PivotTable8</c:name>
    <c:fmtId val="7"/>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IN" sz="1600" b="1" i="0" u="none" strike="noStrike" baseline="0"/>
              <a:t>Revenue by Region</a:t>
            </a:r>
            <a:endParaRPr lang="en-US" sz="1600" b="1" i="0" u="none" strike="noStrike" kern="120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Column_Chart!$C$4</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Column_Chart!$B$5:$B$9</c:f>
              <c:strCache>
                <c:ptCount val="4"/>
                <c:pt idx="0">
                  <c:v>East</c:v>
                </c:pt>
                <c:pt idx="1">
                  <c:v>North</c:v>
                </c:pt>
                <c:pt idx="2">
                  <c:v>South</c:v>
                </c:pt>
                <c:pt idx="3">
                  <c:v>West</c:v>
                </c:pt>
              </c:strCache>
            </c:strRef>
          </c:cat>
          <c:val>
            <c:numRef>
              <c:f>Column_Chart!$C$5:$C$9</c:f>
              <c:numCache>
                <c:formatCode>"₹"\ #,##0.00;#,##0.00\ \-"₹";"₹"\ #,##0.00</c:formatCode>
                <c:ptCount val="4"/>
                <c:pt idx="0">
                  <c:v>186135</c:v>
                </c:pt>
                <c:pt idx="1">
                  <c:v>142258</c:v>
                </c:pt>
                <c:pt idx="2">
                  <c:v>144794</c:v>
                </c:pt>
                <c:pt idx="3">
                  <c:v>129812</c:v>
                </c:pt>
              </c:numCache>
            </c:numRef>
          </c:val>
          <c:extLst>
            <c:ext xmlns:c16="http://schemas.microsoft.com/office/drawing/2014/chart" uri="{C3380CC4-5D6E-409C-BE32-E72D297353CC}">
              <c16:uniqueId val="{00000000-B617-45A0-9143-F8B0E047A3E8}"/>
            </c:ext>
          </c:extLst>
        </c:ser>
        <c:dLbls>
          <c:dLblPos val="inEnd"/>
          <c:showLegendKey val="0"/>
          <c:showVal val="1"/>
          <c:showCatName val="0"/>
          <c:showSerName val="0"/>
          <c:showPercent val="0"/>
          <c:showBubbleSize val="0"/>
        </c:dLbls>
        <c:gapWidth val="150"/>
        <c:overlap val="100"/>
        <c:axId val="1529488863"/>
        <c:axId val="1529485023"/>
      </c:barChart>
      <c:catAx>
        <c:axId val="1529488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85023"/>
        <c:crosses val="autoZero"/>
        <c:auto val="1"/>
        <c:lblAlgn val="ctr"/>
        <c:lblOffset val="100"/>
        <c:noMultiLvlLbl val="0"/>
      </c:catAx>
      <c:valAx>
        <c:axId val="15294850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8886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1.emf"/><Relationship Id="rId1" Type="http://schemas.openxmlformats.org/officeDocument/2006/relationships/chart" Target="../charts/chart5.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297180</xdr:colOff>
      <xdr:row>1</xdr:row>
      <xdr:rowOff>30480</xdr:rowOff>
    </xdr:from>
    <xdr:to>
      <xdr:col>10</xdr:col>
      <xdr:colOff>678180</xdr:colOff>
      <xdr:row>8</xdr:row>
      <xdr:rowOff>38100</xdr:rowOff>
    </xdr:to>
    <xdr:grpSp>
      <xdr:nvGrpSpPr>
        <xdr:cNvPr id="5" name="Group 4">
          <a:extLst>
            <a:ext uri="{FF2B5EF4-FFF2-40B4-BE49-F238E27FC236}">
              <a16:creationId xmlns:a16="http://schemas.microsoft.com/office/drawing/2014/main" id="{787258AA-9B57-9D93-FA92-F610BC4D3B72}"/>
            </a:ext>
          </a:extLst>
        </xdr:cNvPr>
        <xdr:cNvGrpSpPr/>
      </xdr:nvGrpSpPr>
      <xdr:grpSpPr>
        <a:xfrm>
          <a:off x="297180" y="213360"/>
          <a:ext cx="2552700" cy="1287780"/>
          <a:chOff x="6865620" y="2148840"/>
          <a:chExt cx="2552700" cy="1287780"/>
        </a:xfrm>
      </xdr:grpSpPr>
      <xdr:sp macro="" textlink="">
        <xdr:nvSpPr>
          <xdr:cNvPr id="2" name="Rectangle 1">
            <a:extLst>
              <a:ext uri="{FF2B5EF4-FFF2-40B4-BE49-F238E27FC236}">
                <a16:creationId xmlns:a16="http://schemas.microsoft.com/office/drawing/2014/main" id="{6ADC16DA-9BC2-4E7C-CA26-65B209BD548D}"/>
              </a:ext>
            </a:extLst>
          </xdr:cNvPr>
          <xdr:cNvSpPr/>
        </xdr:nvSpPr>
        <xdr:spPr>
          <a:xfrm>
            <a:off x="6865620" y="2171700"/>
            <a:ext cx="2552700" cy="124968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500" b="1" i="0" u="none" strike="noStrike">
              <a:solidFill>
                <a:srgbClr val="002060"/>
              </a:solidFill>
              <a:latin typeface="Calibri"/>
              <a:ea typeface="Calibri"/>
              <a:cs typeface="Calibri"/>
            </a:endParaRPr>
          </a:p>
        </xdr:txBody>
      </xdr:sp>
      <xdr:pic>
        <xdr:nvPicPr>
          <xdr:cNvPr id="4" name="Picture 3">
            <a:extLst>
              <a:ext uri="{FF2B5EF4-FFF2-40B4-BE49-F238E27FC236}">
                <a16:creationId xmlns:a16="http://schemas.microsoft.com/office/drawing/2014/main" id="{ADCFE278-9EB1-2309-83A7-B11ECF4E0E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11340" y="2148840"/>
            <a:ext cx="2506980" cy="128778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182880</xdr:colOff>
      <xdr:row>2</xdr:row>
      <xdr:rowOff>171450</xdr:rowOff>
    </xdr:from>
    <xdr:to>
      <xdr:col>12</xdr:col>
      <xdr:colOff>190500</xdr:colOff>
      <xdr:row>16</xdr:row>
      <xdr:rowOff>152400</xdr:rowOff>
    </xdr:to>
    <xdr:graphicFrame macro="">
      <xdr:nvGraphicFramePr>
        <xdr:cNvPr id="2" name="Chart 1">
          <a:extLst>
            <a:ext uri="{FF2B5EF4-FFF2-40B4-BE49-F238E27FC236}">
              <a16:creationId xmlns:a16="http://schemas.microsoft.com/office/drawing/2014/main" id="{ADA7FE59-4560-318C-4CF8-51B613FD6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266700</xdr:colOff>
      <xdr:row>2</xdr:row>
      <xdr:rowOff>26670</xdr:rowOff>
    </xdr:from>
    <xdr:to>
      <xdr:col>11</xdr:col>
      <xdr:colOff>373380</xdr:colOff>
      <xdr:row>15</xdr:row>
      <xdr:rowOff>7620</xdr:rowOff>
    </xdr:to>
    <xdr:graphicFrame macro="">
      <xdr:nvGraphicFramePr>
        <xdr:cNvPr id="2" name="Chart 1">
          <a:extLst>
            <a:ext uri="{FF2B5EF4-FFF2-40B4-BE49-F238E27FC236}">
              <a16:creationId xmlns:a16="http://schemas.microsoft.com/office/drawing/2014/main" id="{C7ABEC20-E590-A537-B1BC-DBEB726A0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121920</xdr:colOff>
      <xdr:row>1</xdr:row>
      <xdr:rowOff>125730</xdr:rowOff>
    </xdr:from>
    <xdr:to>
      <xdr:col>11</xdr:col>
      <xdr:colOff>426720</xdr:colOff>
      <xdr:row>16</xdr:row>
      <xdr:rowOff>125730</xdr:rowOff>
    </xdr:to>
    <xdr:graphicFrame macro="">
      <xdr:nvGraphicFramePr>
        <xdr:cNvPr id="2" name="Chart 1">
          <a:extLst>
            <a:ext uri="{FF2B5EF4-FFF2-40B4-BE49-F238E27FC236}">
              <a16:creationId xmlns:a16="http://schemas.microsoft.com/office/drawing/2014/main" id="{FC0234F1-B1C9-5A94-7EAF-91311AFCD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457200</xdr:colOff>
      <xdr:row>2</xdr:row>
      <xdr:rowOff>137160</xdr:rowOff>
    </xdr:from>
    <xdr:to>
      <xdr:col>7</xdr:col>
      <xdr:colOff>1226820</xdr:colOff>
      <xdr:row>17</xdr:row>
      <xdr:rowOff>137160</xdr:rowOff>
    </xdr:to>
    <xdr:graphicFrame macro="">
      <xdr:nvGraphicFramePr>
        <xdr:cNvPr id="2" name="Chart 1">
          <a:extLst>
            <a:ext uri="{FF2B5EF4-FFF2-40B4-BE49-F238E27FC236}">
              <a16:creationId xmlns:a16="http://schemas.microsoft.com/office/drawing/2014/main" id="{E8DDAF9A-6182-D9BF-2D4B-CC7B07503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413845</xdr:colOff>
      <xdr:row>21</xdr:row>
      <xdr:rowOff>142043</xdr:rowOff>
    </xdr:from>
    <xdr:to>
      <xdr:col>5</xdr:col>
      <xdr:colOff>215153</xdr:colOff>
      <xdr:row>29</xdr:row>
      <xdr:rowOff>86293</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12E73CBC-A56D-BC87-3DBA-559D08D0F8E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23445" y="3907219"/>
              <a:ext cx="3548555" cy="137860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858537</xdr:colOff>
      <xdr:row>14</xdr:row>
      <xdr:rowOff>17547</xdr:rowOff>
    </xdr:from>
    <xdr:to>
      <xdr:col>3</xdr:col>
      <xdr:colOff>681317</xdr:colOff>
      <xdr:row>21</xdr:row>
      <xdr:rowOff>134471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8F7ACD2-4BDF-1EE4-6514-C327C4B8EACA}"/>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68137" y="2527665"/>
              <a:ext cx="1723298" cy="1371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525109</xdr:colOff>
      <xdr:row>18</xdr:row>
      <xdr:rowOff>35059</xdr:rowOff>
    </xdr:from>
    <xdr:to>
      <xdr:col>13</xdr:col>
      <xdr:colOff>419901</xdr:colOff>
      <xdr:row>29</xdr:row>
      <xdr:rowOff>101862</xdr:rowOff>
    </xdr:to>
    <xdr:grpSp>
      <xdr:nvGrpSpPr>
        <xdr:cNvPr id="29" name="Group 28">
          <a:extLst>
            <a:ext uri="{FF2B5EF4-FFF2-40B4-BE49-F238E27FC236}">
              <a16:creationId xmlns:a16="http://schemas.microsoft.com/office/drawing/2014/main" id="{ED841EBB-AE4A-7426-B454-EA7293A02411}"/>
            </a:ext>
          </a:extLst>
        </xdr:cNvPr>
        <xdr:cNvGrpSpPr/>
      </xdr:nvGrpSpPr>
      <xdr:grpSpPr>
        <a:xfrm>
          <a:off x="4881956" y="3262353"/>
          <a:ext cx="5345333" cy="2039038"/>
          <a:chOff x="5204685" y="3190634"/>
          <a:chExt cx="5345333" cy="2039038"/>
        </a:xfrm>
      </xdr:grpSpPr>
      <xdr:sp macro="" textlink="">
        <xdr:nvSpPr>
          <xdr:cNvPr id="14" name="Rectangle 13">
            <a:extLst>
              <a:ext uri="{FF2B5EF4-FFF2-40B4-BE49-F238E27FC236}">
                <a16:creationId xmlns:a16="http://schemas.microsoft.com/office/drawing/2014/main" id="{ED3279A9-CC1B-40D6-9A97-D04170CCC853}"/>
              </a:ext>
            </a:extLst>
          </xdr:cNvPr>
          <xdr:cNvSpPr/>
        </xdr:nvSpPr>
        <xdr:spPr>
          <a:xfrm>
            <a:off x="5204685" y="3216669"/>
            <a:ext cx="5345333" cy="2013003"/>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9" name="Chart 8">
            <a:extLst>
              <a:ext uri="{FF2B5EF4-FFF2-40B4-BE49-F238E27FC236}">
                <a16:creationId xmlns:a16="http://schemas.microsoft.com/office/drawing/2014/main" id="{71B9D2D7-C653-48A8-9B1A-9C87A67DA0C9}"/>
              </a:ext>
            </a:extLst>
          </xdr:cNvPr>
          <xdr:cNvGraphicFramePr>
            <a:graphicFrameLocks/>
          </xdr:cNvGraphicFramePr>
        </xdr:nvGraphicFramePr>
        <xdr:xfrm>
          <a:off x="5290827" y="3190634"/>
          <a:ext cx="5220578" cy="2025018"/>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xdr:col>
      <xdr:colOff>87080</xdr:colOff>
      <xdr:row>6</xdr:row>
      <xdr:rowOff>116824</xdr:rowOff>
    </xdr:from>
    <xdr:to>
      <xdr:col>13</xdr:col>
      <xdr:colOff>482666</xdr:colOff>
      <xdr:row>18</xdr:row>
      <xdr:rowOff>110110</xdr:rowOff>
    </xdr:to>
    <xdr:grpSp>
      <xdr:nvGrpSpPr>
        <xdr:cNvPr id="28" name="Group 27">
          <a:extLst>
            <a:ext uri="{FF2B5EF4-FFF2-40B4-BE49-F238E27FC236}">
              <a16:creationId xmlns:a16="http://schemas.microsoft.com/office/drawing/2014/main" id="{6A160220-BD2E-7558-98B1-857FEB58C460}"/>
            </a:ext>
          </a:extLst>
        </xdr:cNvPr>
        <xdr:cNvGrpSpPr/>
      </xdr:nvGrpSpPr>
      <xdr:grpSpPr>
        <a:xfrm>
          <a:off x="696680" y="1192589"/>
          <a:ext cx="9593374" cy="2144815"/>
          <a:chOff x="1037339" y="1147765"/>
          <a:chExt cx="9593374" cy="2144815"/>
        </a:xfrm>
      </xdr:grpSpPr>
      <xdr:grpSp>
        <xdr:nvGrpSpPr>
          <xdr:cNvPr id="4" name="Group 3">
            <a:extLst>
              <a:ext uri="{FF2B5EF4-FFF2-40B4-BE49-F238E27FC236}">
                <a16:creationId xmlns:a16="http://schemas.microsoft.com/office/drawing/2014/main" id="{9D1EB271-010C-4816-B894-E4AEF047F0AB}"/>
              </a:ext>
            </a:extLst>
          </xdr:cNvPr>
          <xdr:cNvGrpSpPr/>
        </xdr:nvGrpSpPr>
        <xdr:grpSpPr>
          <a:xfrm>
            <a:off x="1037339" y="1228613"/>
            <a:ext cx="2722909" cy="1262679"/>
            <a:chOff x="6718987" y="2148840"/>
            <a:chExt cx="2726260" cy="1287780"/>
          </a:xfrm>
        </xdr:grpSpPr>
        <xdr:sp macro="" textlink="">
          <xdr:nvSpPr>
            <xdr:cNvPr id="7" name="Rectangle 6">
              <a:extLst>
                <a:ext uri="{FF2B5EF4-FFF2-40B4-BE49-F238E27FC236}">
                  <a16:creationId xmlns:a16="http://schemas.microsoft.com/office/drawing/2014/main" id="{D0765419-CE95-885C-BD65-3801BE6F54B1}"/>
                </a:ext>
              </a:extLst>
            </xdr:cNvPr>
            <xdr:cNvSpPr/>
          </xdr:nvSpPr>
          <xdr:spPr>
            <a:xfrm>
              <a:off x="6718987" y="2171700"/>
              <a:ext cx="2726260" cy="124968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500" b="1" i="0" u="none" strike="noStrike">
                <a:solidFill>
                  <a:srgbClr val="002060"/>
                </a:solidFill>
                <a:latin typeface="Calibri"/>
                <a:ea typeface="Calibri"/>
                <a:cs typeface="Calibri"/>
              </a:endParaRPr>
            </a:p>
          </xdr:txBody>
        </xdr:sp>
        <xdr:pic>
          <xdr:nvPicPr>
            <xdr:cNvPr id="8" name="Picture 7">
              <a:extLst>
                <a:ext uri="{FF2B5EF4-FFF2-40B4-BE49-F238E27FC236}">
                  <a16:creationId xmlns:a16="http://schemas.microsoft.com/office/drawing/2014/main" id="{34D60ECA-194B-F285-9696-5CE55AECC1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6436" y="2148840"/>
              <a:ext cx="2678810" cy="1287780"/>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26" name="Group 25">
            <a:extLst>
              <a:ext uri="{FF2B5EF4-FFF2-40B4-BE49-F238E27FC236}">
                <a16:creationId xmlns:a16="http://schemas.microsoft.com/office/drawing/2014/main" id="{9D78FC57-B027-9EC4-0C90-ED0C588D2AD7}"/>
              </a:ext>
            </a:extLst>
          </xdr:cNvPr>
          <xdr:cNvGrpSpPr/>
        </xdr:nvGrpSpPr>
        <xdr:grpSpPr>
          <a:xfrm>
            <a:off x="3332975" y="1147765"/>
            <a:ext cx="4413810" cy="1996018"/>
            <a:chOff x="3332975" y="1147765"/>
            <a:chExt cx="4413810" cy="1996018"/>
          </a:xfrm>
        </xdr:grpSpPr>
        <xdr:sp macro="" textlink="">
          <xdr:nvSpPr>
            <xdr:cNvPr id="13" name="Rectangle 12">
              <a:extLst>
                <a:ext uri="{FF2B5EF4-FFF2-40B4-BE49-F238E27FC236}">
                  <a16:creationId xmlns:a16="http://schemas.microsoft.com/office/drawing/2014/main" id="{8999AD28-7E3F-4A45-926C-8CCDC4FB333F}"/>
                </a:ext>
              </a:extLst>
            </xdr:cNvPr>
            <xdr:cNvSpPr/>
          </xdr:nvSpPr>
          <xdr:spPr>
            <a:xfrm>
              <a:off x="3902532" y="1237320"/>
              <a:ext cx="3324665" cy="1906463"/>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 name="Chart 1">
              <a:extLst>
                <a:ext uri="{FF2B5EF4-FFF2-40B4-BE49-F238E27FC236}">
                  <a16:creationId xmlns:a16="http://schemas.microsoft.com/office/drawing/2014/main" id="{288B1921-ADB6-4EC8-A97B-1395C3FF98D1}"/>
                </a:ext>
              </a:extLst>
            </xdr:cNvPr>
            <xdr:cNvGraphicFramePr>
              <a:graphicFrameLocks/>
            </xdr:cNvGraphicFramePr>
          </xdr:nvGraphicFramePr>
          <xdr:xfrm>
            <a:off x="3332975" y="1147765"/>
            <a:ext cx="4413810" cy="196672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27" name="Group 26">
            <a:extLst>
              <a:ext uri="{FF2B5EF4-FFF2-40B4-BE49-F238E27FC236}">
                <a16:creationId xmlns:a16="http://schemas.microsoft.com/office/drawing/2014/main" id="{AB331E6B-0AED-EF71-6532-BF314EB1179E}"/>
              </a:ext>
            </a:extLst>
          </xdr:cNvPr>
          <xdr:cNvGrpSpPr/>
        </xdr:nvGrpSpPr>
        <xdr:grpSpPr>
          <a:xfrm>
            <a:off x="7334756" y="1227293"/>
            <a:ext cx="3295957" cy="2065287"/>
            <a:chOff x="7334756" y="1227293"/>
            <a:chExt cx="3295957" cy="2065287"/>
          </a:xfrm>
        </xdr:grpSpPr>
        <xdr:sp macro="" textlink="">
          <xdr:nvSpPr>
            <xdr:cNvPr id="12" name="Rectangle 11">
              <a:extLst>
                <a:ext uri="{FF2B5EF4-FFF2-40B4-BE49-F238E27FC236}">
                  <a16:creationId xmlns:a16="http://schemas.microsoft.com/office/drawing/2014/main" id="{C41BB3B7-F1D4-40D8-925B-EBBD1B9DCDE1}"/>
                </a:ext>
              </a:extLst>
            </xdr:cNvPr>
            <xdr:cNvSpPr/>
          </xdr:nvSpPr>
          <xdr:spPr>
            <a:xfrm>
              <a:off x="7409584" y="1243463"/>
              <a:ext cx="3221129" cy="1914542"/>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0" name="Chart 9">
              <a:extLst>
                <a:ext uri="{FF2B5EF4-FFF2-40B4-BE49-F238E27FC236}">
                  <a16:creationId xmlns:a16="http://schemas.microsoft.com/office/drawing/2014/main" id="{62F94734-6D07-4498-88BD-CB5653F5D426}"/>
                </a:ext>
              </a:extLst>
            </xdr:cNvPr>
            <xdr:cNvGraphicFramePr>
              <a:graphicFrameLocks/>
            </xdr:cNvGraphicFramePr>
          </xdr:nvGraphicFramePr>
          <xdr:xfrm>
            <a:off x="7334756" y="1227293"/>
            <a:ext cx="3271368" cy="2065287"/>
          </xdr:xfrm>
          <a:graphic>
            <a:graphicData uri="http://schemas.openxmlformats.org/drawingml/2006/chart">
              <c:chart xmlns:c="http://schemas.openxmlformats.org/drawingml/2006/chart" xmlns:r="http://schemas.openxmlformats.org/officeDocument/2006/relationships" r:id="rId4"/>
            </a:graphicData>
          </a:graphic>
        </xdr:graphicFrame>
      </xdr:grpSp>
    </xdr:grpSp>
    <xdr:clientData/>
  </xdr:twoCellAnchor>
  <xdr:twoCellAnchor>
    <xdr:from>
      <xdr:col>2</xdr:col>
      <xdr:colOff>72164</xdr:colOff>
      <xdr:row>3</xdr:row>
      <xdr:rowOff>77087</xdr:rowOff>
    </xdr:from>
    <xdr:to>
      <xdr:col>13</xdr:col>
      <xdr:colOff>62752</xdr:colOff>
      <xdr:row>6</xdr:row>
      <xdr:rowOff>161364</xdr:rowOff>
    </xdr:to>
    <xdr:grpSp>
      <xdr:nvGrpSpPr>
        <xdr:cNvPr id="25" name="Group 24">
          <a:extLst>
            <a:ext uri="{FF2B5EF4-FFF2-40B4-BE49-F238E27FC236}">
              <a16:creationId xmlns:a16="http://schemas.microsoft.com/office/drawing/2014/main" id="{768E8C1F-22E9-CD86-4E88-01C42DEE8B41}"/>
            </a:ext>
          </a:extLst>
        </xdr:cNvPr>
        <xdr:cNvGrpSpPr/>
      </xdr:nvGrpSpPr>
      <xdr:grpSpPr>
        <a:xfrm>
          <a:off x="1632023" y="614969"/>
          <a:ext cx="8238117" cy="622160"/>
          <a:chOff x="1157836" y="516967"/>
          <a:chExt cx="7670985" cy="1012436"/>
        </a:xfrm>
      </xdr:grpSpPr>
      <xdr:grpSp>
        <xdr:nvGrpSpPr>
          <xdr:cNvPr id="18" name="Group 17">
            <a:extLst>
              <a:ext uri="{FF2B5EF4-FFF2-40B4-BE49-F238E27FC236}">
                <a16:creationId xmlns:a16="http://schemas.microsoft.com/office/drawing/2014/main" id="{FDC8F975-1650-E8E0-4D47-F1CC7FB5AE67}"/>
              </a:ext>
            </a:extLst>
          </xdr:cNvPr>
          <xdr:cNvGrpSpPr/>
        </xdr:nvGrpSpPr>
        <xdr:grpSpPr>
          <a:xfrm>
            <a:off x="1157836" y="516967"/>
            <a:ext cx="1990165" cy="997849"/>
            <a:chOff x="5724649" y="593635"/>
            <a:chExt cx="1846730" cy="841937"/>
          </a:xfrm>
        </xdr:grpSpPr>
        <xdr:sp macro="" textlink="D14">
          <xdr:nvSpPr>
            <xdr:cNvPr id="17" name="Rectangle 16">
              <a:extLst>
                <a:ext uri="{FF2B5EF4-FFF2-40B4-BE49-F238E27FC236}">
                  <a16:creationId xmlns:a16="http://schemas.microsoft.com/office/drawing/2014/main" id="{11E14984-060A-C025-66F2-E980A323F5AB}"/>
                </a:ext>
              </a:extLst>
            </xdr:cNvPr>
            <xdr:cNvSpPr/>
          </xdr:nvSpPr>
          <xdr:spPr>
            <a:xfrm>
              <a:off x="5724649" y="593635"/>
              <a:ext cx="1846730" cy="841937"/>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br>
                <a:rPr lang="en-US" sz="1500" b="1" i="0" u="none" strike="noStrike">
                  <a:solidFill>
                    <a:srgbClr val="002060"/>
                  </a:solidFill>
                  <a:latin typeface="Calibri"/>
                  <a:ea typeface="Calibri"/>
                  <a:cs typeface="Calibri"/>
                </a:rPr>
              </a:br>
              <a:fld id="{D98AEF05-52BE-4555-A871-5E21FB07EA7A}" type="TxLink">
                <a:rPr lang="en-US" sz="1500" b="1" i="0" u="none" strike="noStrike">
                  <a:solidFill>
                    <a:srgbClr val="002060"/>
                  </a:solidFill>
                  <a:latin typeface="Calibri"/>
                  <a:ea typeface="Calibri"/>
                  <a:cs typeface="Calibri"/>
                </a:rPr>
                <a:pPr algn="ctr"/>
                <a:t>₹ 6,02,999.00</a:t>
              </a:fld>
              <a:endParaRPr lang="en-IN" sz="1500" b="1">
                <a:solidFill>
                  <a:srgbClr val="002060"/>
                </a:solidFill>
              </a:endParaRPr>
            </a:p>
          </xdr:txBody>
        </xdr:sp>
        <xdr:sp macro="" textlink="">
          <xdr:nvSpPr>
            <xdr:cNvPr id="1027" name="Text Box 3">
              <a:extLst>
                <a:ext uri="{FF2B5EF4-FFF2-40B4-BE49-F238E27FC236}">
                  <a16:creationId xmlns:a16="http://schemas.microsoft.com/office/drawing/2014/main" id="{8341DACE-1504-1E7F-EC2B-E5BC8BC00E97}"/>
                </a:ext>
              </a:extLst>
            </xdr:cNvPr>
            <xdr:cNvSpPr txBox="1">
              <a:spLocks noChangeArrowheads="1"/>
            </xdr:cNvSpPr>
          </xdr:nvSpPr>
          <xdr:spPr bwMode="auto">
            <a:xfrm>
              <a:off x="6169090" y="664509"/>
              <a:ext cx="889364" cy="242047"/>
            </a:xfrm>
            <a:prstGeom prst="rect">
              <a:avLst/>
            </a:prstGeom>
            <a:solidFill>
              <a:srgbClr val="FFFFFF"/>
            </a:solidFill>
            <a:ln w="9525">
              <a:noFill/>
              <a:miter lim="800000"/>
              <a:headEnd/>
              <a:tailEnd/>
            </a:ln>
          </xdr:spPr>
          <xdr:txBody>
            <a:bodyPr vertOverflow="clip" wrap="square" lIns="27432" tIns="27432" rIns="0" bIns="0" anchor="ctr" upright="1"/>
            <a:lstStyle/>
            <a:p>
              <a:pPr algn="ctr" rtl="0">
                <a:defRPr sz="1000"/>
              </a:pPr>
              <a:r>
                <a:rPr lang="en-IN" sz="1100" b="0" i="0" u="none" strike="noStrike" baseline="0">
                  <a:solidFill>
                    <a:schemeClr val="bg2">
                      <a:lumMod val="25000"/>
                    </a:schemeClr>
                  </a:solidFill>
                  <a:latin typeface="Calibri"/>
                  <a:ea typeface="Calibri"/>
                  <a:cs typeface="Calibri"/>
                </a:rPr>
                <a:t>Total Revenue</a:t>
              </a:r>
            </a:p>
          </xdr:txBody>
        </xdr:sp>
      </xdr:grpSp>
      <xdr:grpSp>
        <xdr:nvGrpSpPr>
          <xdr:cNvPr id="19" name="Group 18">
            <a:extLst>
              <a:ext uri="{FF2B5EF4-FFF2-40B4-BE49-F238E27FC236}">
                <a16:creationId xmlns:a16="http://schemas.microsoft.com/office/drawing/2014/main" id="{6595C867-314E-4675-AA4B-E7722DB2BBBE}"/>
              </a:ext>
            </a:extLst>
          </xdr:cNvPr>
          <xdr:cNvGrpSpPr/>
        </xdr:nvGrpSpPr>
        <xdr:grpSpPr>
          <a:xfrm>
            <a:off x="3866615" y="517506"/>
            <a:ext cx="2117349" cy="1011897"/>
            <a:chOff x="5609523" y="586526"/>
            <a:chExt cx="1964748" cy="853790"/>
          </a:xfrm>
        </xdr:grpSpPr>
        <xdr:sp macro="" textlink="D10">
          <xdr:nvSpPr>
            <xdr:cNvPr id="20" name="Rectangle 19">
              <a:extLst>
                <a:ext uri="{FF2B5EF4-FFF2-40B4-BE49-F238E27FC236}">
                  <a16:creationId xmlns:a16="http://schemas.microsoft.com/office/drawing/2014/main" id="{DA744809-5AE7-8B7B-8D14-D0D2676BC149}"/>
                </a:ext>
              </a:extLst>
            </xdr:cNvPr>
            <xdr:cNvSpPr/>
          </xdr:nvSpPr>
          <xdr:spPr>
            <a:xfrm>
              <a:off x="5609523" y="586526"/>
              <a:ext cx="1964748" cy="85379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br>
                <a:rPr lang="en-US" sz="1500" b="1" i="0" u="none" strike="noStrike">
                  <a:solidFill>
                    <a:srgbClr val="002060"/>
                  </a:solidFill>
                  <a:latin typeface="Calibri"/>
                  <a:ea typeface="Calibri"/>
                  <a:cs typeface="Calibri"/>
                </a:rPr>
              </a:br>
              <a:fld id="{1F81EEAB-FC3F-4B5A-BAD3-4E6F211AF880}" type="TxLink">
                <a:rPr lang="en-US" sz="1500" b="1" i="0" u="none" strike="noStrike">
                  <a:solidFill>
                    <a:srgbClr val="002060"/>
                  </a:solidFill>
                  <a:latin typeface="Calibri"/>
                  <a:ea typeface="Calibri"/>
                  <a:cs typeface="Calibri"/>
                </a:rPr>
                <a:pPr marL="0" indent="0" algn="ctr"/>
                <a:t>₹ 1,86,135.00</a:t>
              </a:fld>
              <a:endParaRPr lang="en-IN" sz="1500" b="1" i="0" u="none" strike="noStrike">
                <a:solidFill>
                  <a:srgbClr val="002060"/>
                </a:solidFill>
                <a:latin typeface="Calibri"/>
                <a:ea typeface="Calibri"/>
                <a:cs typeface="Calibri"/>
              </a:endParaRPr>
            </a:p>
          </xdr:txBody>
        </xdr:sp>
        <xdr:sp macro="" textlink="">
          <xdr:nvSpPr>
            <xdr:cNvPr id="21" name="Text Box 3">
              <a:extLst>
                <a:ext uri="{FF2B5EF4-FFF2-40B4-BE49-F238E27FC236}">
                  <a16:creationId xmlns:a16="http://schemas.microsoft.com/office/drawing/2014/main" id="{FA9A50C2-1221-C0B5-3BB3-3DEB7D6CD4B6}"/>
                </a:ext>
              </a:extLst>
            </xdr:cNvPr>
            <xdr:cNvSpPr txBox="1">
              <a:spLocks noChangeArrowheads="1"/>
            </xdr:cNvSpPr>
          </xdr:nvSpPr>
          <xdr:spPr bwMode="auto">
            <a:xfrm>
              <a:off x="6222242" y="648402"/>
              <a:ext cx="686912" cy="224573"/>
            </a:xfrm>
            <a:prstGeom prst="rect">
              <a:avLst/>
            </a:prstGeom>
            <a:solidFill>
              <a:srgbClr val="FFFFFF"/>
            </a:solidFill>
            <a:ln w="9525">
              <a:noFill/>
              <a:miter lim="800000"/>
              <a:headEnd/>
              <a:tailEnd/>
            </a:ln>
          </xdr:spPr>
          <xdr:txBody>
            <a:bodyPr vertOverflow="clip" wrap="square" lIns="27432" tIns="27432" rIns="0" bIns="0" anchor="ctr" upright="1"/>
            <a:lstStyle/>
            <a:p>
              <a:pPr algn="ctr" rtl="0">
                <a:defRPr sz="1000"/>
              </a:pPr>
              <a:r>
                <a:rPr lang="en-IN" sz="1100" b="0" i="0" u="none" strike="noStrike" baseline="0">
                  <a:solidFill>
                    <a:srgbClr val="002060"/>
                  </a:solidFill>
                  <a:latin typeface="+mn-lt"/>
                  <a:ea typeface="Calibri"/>
                  <a:cs typeface="Calibri"/>
                </a:rPr>
                <a:t>Top Region</a:t>
              </a:r>
            </a:p>
          </xdr:txBody>
        </xdr:sp>
      </xdr:grpSp>
      <xdr:grpSp>
        <xdr:nvGrpSpPr>
          <xdr:cNvPr id="22" name="Group 21">
            <a:extLst>
              <a:ext uri="{FF2B5EF4-FFF2-40B4-BE49-F238E27FC236}">
                <a16:creationId xmlns:a16="http://schemas.microsoft.com/office/drawing/2014/main" id="{BCD542F3-EB29-48F7-A0CC-C5C6D8C0EB9D}"/>
              </a:ext>
            </a:extLst>
          </xdr:cNvPr>
          <xdr:cNvGrpSpPr/>
        </xdr:nvGrpSpPr>
        <xdr:grpSpPr>
          <a:xfrm>
            <a:off x="6750580" y="528751"/>
            <a:ext cx="2078241" cy="986063"/>
            <a:chOff x="5765097" y="618705"/>
            <a:chExt cx="1928458" cy="831993"/>
          </a:xfrm>
        </xdr:grpSpPr>
        <xdr:sp macro="" textlink="M5">
          <xdr:nvSpPr>
            <xdr:cNvPr id="23" name="Rectangle 22">
              <a:extLst>
                <a:ext uri="{FF2B5EF4-FFF2-40B4-BE49-F238E27FC236}">
                  <a16:creationId xmlns:a16="http://schemas.microsoft.com/office/drawing/2014/main" id="{76479D0A-84AA-AF43-413E-52F4D2D28ABF}"/>
                </a:ext>
              </a:extLst>
            </xdr:cNvPr>
            <xdr:cNvSpPr/>
          </xdr:nvSpPr>
          <xdr:spPr>
            <a:xfrm>
              <a:off x="5765097" y="618705"/>
              <a:ext cx="1928458" cy="831993"/>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br>
                <a:rPr lang="en-US" sz="1500" b="1" i="0" u="none" strike="noStrike">
                  <a:solidFill>
                    <a:srgbClr val="002060"/>
                  </a:solidFill>
                  <a:latin typeface="Calibri"/>
                  <a:ea typeface="Calibri"/>
                  <a:cs typeface="Calibri"/>
                </a:rPr>
              </a:br>
              <a:fld id="{A841AB53-8B2B-4379-9B70-51E89C96034C}" type="TxLink">
                <a:rPr lang="en-US" sz="1500" b="1" i="0" u="none" strike="noStrike">
                  <a:solidFill>
                    <a:srgbClr val="002060"/>
                  </a:solidFill>
                  <a:latin typeface="Calibri"/>
                  <a:ea typeface="Calibri"/>
                  <a:cs typeface="Calibri"/>
                </a:rPr>
                <a:pPr marL="0" indent="0" algn="ctr"/>
                <a:t>₹ 1,50,749.75</a:t>
              </a:fld>
              <a:endParaRPr lang="en-US" sz="1500" b="1" i="0" u="none" strike="noStrike">
                <a:solidFill>
                  <a:srgbClr val="002060"/>
                </a:solidFill>
                <a:latin typeface="Calibri"/>
                <a:ea typeface="Calibri"/>
                <a:cs typeface="Calibri"/>
              </a:endParaRPr>
            </a:p>
          </xdr:txBody>
        </xdr:sp>
        <xdr:sp macro="" textlink="">
          <xdr:nvSpPr>
            <xdr:cNvPr id="24" name="Text Box 3">
              <a:extLst>
                <a:ext uri="{FF2B5EF4-FFF2-40B4-BE49-F238E27FC236}">
                  <a16:creationId xmlns:a16="http://schemas.microsoft.com/office/drawing/2014/main" id="{4B2B9DFF-979C-D7E5-2462-F17B01025B5F}"/>
                </a:ext>
              </a:extLst>
            </xdr:cNvPr>
            <xdr:cNvSpPr txBox="1">
              <a:spLocks noChangeArrowheads="1"/>
            </xdr:cNvSpPr>
          </xdr:nvSpPr>
          <xdr:spPr bwMode="auto">
            <a:xfrm>
              <a:off x="6068502" y="691606"/>
              <a:ext cx="1366800" cy="234735"/>
            </a:xfrm>
            <a:prstGeom prst="rect">
              <a:avLst/>
            </a:prstGeom>
            <a:solidFill>
              <a:srgbClr val="FFFFFF"/>
            </a:solidFill>
            <a:ln w="9525">
              <a:noFill/>
              <a:miter lim="800000"/>
              <a:headEnd/>
              <a:tailEnd/>
            </a:ln>
          </xdr:spPr>
          <xdr:txBody>
            <a:bodyPr vertOverflow="clip" wrap="square" lIns="27432" tIns="27432" rIns="0" bIns="0" anchor="ctr" upright="1"/>
            <a:lstStyle/>
            <a:p>
              <a:pPr algn="ctr" rtl="0">
                <a:defRPr sz="1000"/>
              </a:pPr>
              <a:r>
                <a:rPr lang="en-IN" sz="1100" b="0" i="0" u="none" strike="noStrike" baseline="0">
                  <a:solidFill>
                    <a:schemeClr val="bg2">
                      <a:lumMod val="25000"/>
                    </a:schemeClr>
                  </a:solidFill>
                  <a:latin typeface="+mn-lt"/>
                  <a:ea typeface="Calibri"/>
                  <a:cs typeface="Calibri"/>
                </a:rPr>
                <a:t>Avg Revenue per Region</a:t>
              </a:r>
            </a:p>
          </xdr:txBody>
        </xdr:sp>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Zampadiya" refreshedDate="46081.735523958334" createdVersion="5" refreshedVersion="8" minRefreshableVersion="3" recordCount="0" supportSubquery="1" supportAdvancedDrill="1" xr:uid="{19868DF0-50C9-465E-9BF9-75B165E9FF13}">
  <cacheSource type="external" connectionId="3"/>
  <cacheFields count="2">
    <cacheField name="[KPI_Data].[Region].[Region]" caption="Region" numFmtId="0" hierarchy="1" level="1">
      <sharedItems count="4">
        <s v="East"/>
        <s v="North"/>
        <s v="South"/>
        <s v="West"/>
      </sharedItems>
    </cacheField>
    <cacheField name="[Measures].[TotalProfit]" caption="TotalProfit" numFmtId="0" hierarchy="28" level="32767"/>
  </cacheFields>
  <cacheHierarchies count="34">
    <cacheHierarchy uniqueName="[KPI_Data].[SaleID]" caption="SaleID" attribute="1" defaultMemberUniqueName="[KPI_Data].[SaleID].[All]" allUniqueName="[KPI_Data].[SaleID].[All]" dimensionUniqueName="[KPI_Data]" displayFolder="" count="0" memberValueDatatype="20" unbalanced="0"/>
    <cacheHierarchy uniqueName="[KPI_Data].[Region]" caption="Region" attribute="1" defaultMemberUniqueName="[KPI_Data].[Region].[All]" allUniqueName="[KPI_Data].[Region].[All]" dimensionUniqueName="[KPI_Data]" displayFolder="" count="2" memberValueDatatype="130" unbalanced="0">
      <fieldsUsage count="2">
        <fieldUsage x="-1"/>
        <fieldUsage x="0"/>
      </fieldsUsage>
    </cacheHierarchy>
    <cacheHierarchy uniqueName="[KPI_Data].[Category]" caption="Category" attribute="1" defaultMemberUniqueName="[KPI_Data].[Category].[All]" allUniqueName="[KPI_Data].[Category].[All]" dimensionUniqueName="[KPI_Data]" displayFolder="" count="0" memberValueDatatype="130" unbalanced="0"/>
    <cacheHierarchy uniqueName="[KPI_Data].[Product]" caption="Product" attribute="1" defaultMemberUniqueName="[KPI_Data].[Product].[All]" allUniqueName="[KPI_Data].[Product].[All]" dimensionUniqueName="[KPI_Data]" displayFolder="" count="0" memberValueDatatype="130" unbalanced="0"/>
    <cacheHierarchy uniqueName="[KPI_Data].[Date]" caption="Date" attribute="1" time="1" defaultMemberUniqueName="[KPI_Data].[Date].[All]" allUniqueName="[KPI_Data].[Date].[All]" dimensionUniqueName="[KPI_Data]" displayFolder="" count="0" memberValueDatatype="7" unbalanced="0"/>
    <cacheHierarchy uniqueName="[KPI_Data].[Quantity]" caption="Quantity" attribute="1" defaultMemberUniqueName="[KPI_Data].[Quantity].[All]" allUniqueName="[KPI_Data].[Quantity].[All]" dimensionUniqueName="[KPI_Data]" displayFolder="" count="0" memberValueDatatype="20" unbalanced="0"/>
    <cacheHierarchy uniqueName="[KPI_Data].[UnitPrice]" caption="UnitPrice" attribute="1" defaultMemberUniqueName="[KPI_Data].[UnitPrice].[All]" allUniqueName="[KPI_Data].[UnitPrice].[All]" dimensionUniqueName="[KPI_Data]" displayFolder="" count="0" memberValueDatatype="20" unbalanced="0"/>
    <cacheHierarchy uniqueName="[KPI_Data].[Sales]" caption="Sales" attribute="1" defaultMemberUniqueName="[KPI_Data].[Sales].[All]" allUniqueName="[KPI_Data].[Sales].[All]" dimensionUniqueName="[KPI_Data]" displayFolder="" count="0" memberValueDatatype="20" unbalanced="0"/>
    <cacheHierarchy uniqueName="[KPI_Data].[Target]" caption="Target" attribute="1" defaultMemberUniqueName="[KPI_Data].[Target].[All]" allUniqueName="[KPI_Data].[Target].[All]" dimensionUniqueName="[KPI_Data]" displayFolder="" count="0" memberValueDatatype="20" unbalanced="0"/>
    <cacheHierarchy uniqueName="[KPI_Data].[Year]" caption="Year" attribute="1" defaultMemberUniqueName="[KPI_Data].[Year].[All]" allUniqueName="[KPI_Data].[Year].[All]" dimensionUniqueName="[KPI_Data]" displayFolder="" count="0" memberValueDatatype="20" unbalanced="0"/>
    <cacheHierarchy uniqueName="[KPI_Data].[DateH]" caption="DateH" defaultMemberUniqueName="[KPI_Data].[DateH].[All]" allUniqueName="[KPI_Data].[DateH].[All]" dimensionUniqueName="[KPI_Data]" displayFolder="" count="0" unbalanced="0"/>
    <cacheHierarchy uniqueName="[KPI_Data].[Quarter]" caption="Quarter" attribute="1" defaultMemberUniqueName="[KPI_Data].[Quarter].[All]" allUniqueName="[KPI_Data].[Quarter].[All]" dimensionUniqueName="[KPI_Data]" displayFolder="" count="0" memberValueDatatype="130" unbalanced="0"/>
    <cacheHierarchy uniqueName="[KPI_Data].[Month]" caption="Month" attribute="1" defaultMemberUniqueName="[KPI_Data].[Month].[All]" allUniqueName="[KPI_Data].[Month].[All]" dimensionUniqueName="[KPI_Data]" displayFolder="" count="0" memberValueDatatype="130" unbalanced="0"/>
    <cacheHierarchy uniqueName="[KPI_Data].[Target_Left]" caption="Target_Left" attribute="1" defaultMemberUniqueName="[KPI_Data].[Target_Left].[All]" allUniqueName="[KPI_Data].[Target_Left].[All]" dimensionUniqueName="[KPI_Data]" displayFolder="" count="0" memberValueDatatype="20" unbalanced="0"/>
    <cacheHierarchy uniqueName="[KPI_Data].[Column14]" caption="Column14" attribute="1" defaultMemberUniqueName="[KPI_Data].[Column14].[All]" allUniqueName="[KPI_Data].[Column14].[All]" dimensionUniqueName="[KPI_Data]" displayFolder="" count="0" memberValueDatatype="11" unbalanced="0"/>
    <cacheHierarchy uniqueName="[KPI_Data].[Checkbox]" caption="Checkbox" attribute="1" defaultMemberUniqueName="[KPI_Data].[Checkbox].[All]" allUniqueName="[KPI_Data].[Checkbox].[All]" dimensionUniqueName="[KPI_Data]" displayFolder="" count="0" memberValueDatatype="130" unbalanced="0"/>
    <cacheHierarchy uniqueName="[KPI_Data].[Dropdown]" caption="Dropdown" attribute="1" defaultMemberUniqueName="[KPI_Data].[Dropdown].[All]" allUniqueName="[KPI_Data].[Dropdown].[All]" dimensionUniqueName="[KPI_Data]" displayFolder="" count="0" memberValueDatatype="20" unbalanced="0"/>
    <cacheHierarchy uniqueName="[KPI_Data].[Column17]" caption="Column17" attribute="1" defaultMemberUniqueName="[KPI_Data].[Column17].[All]" allUniqueName="[KPI_Data].[Column17].[All]" dimensionUniqueName="[KPI_Data]" displayFolder="" count="0" memberValueDatatype="20" unbalanced="0"/>
    <cacheHierarchy uniqueName="[KPI_Data].[Column18]" caption="Column18" attribute="1" defaultMemberUniqueName="[KPI_Data].[Column18].[All]" allUniqueName="[KPI_Data].[Column18].[All]" dimensionUniqueName="[KPI_Data]" displayFolder="" count="0" memberValueDatatype="130" unbalanced="0"/>
    <cacheHierarchy uniqueName="[KPI_Data].[Date (Year)]" caption="Date (Year)" attribute="1" defaultMemberUniqueName="[KPI_Data].[Date (Year)].[All]" allUniqueName="[KPI_Data].[Date (Year)].[All]" dimensionUniqueName="[KPI_Data]" displayFolder="" count="0" memberValueDatatype="130" unbalanced="0"/>
    <cacheHierarchy uniqueName="[KPI_Data].[Date (Quarter)]" caption="Date (Quarter)" attribute="1" defaultMemberUniqueName="[KPI_Data].[Date (Quarter)].[All]" allUniqueName="[KPI_Data].[Date (Quarter)].[All]" dimensionUniqueName="[KPI_Data]" displayFolder="" count="0" memberValueDatatype="130" unbalanced="0"/>
    <cacheHierarchy uniqueName="[KPI_Data].[Date (Month)]" caption="Date (Month)" attribute="1" defaultMemberUniqueName="[KPI_Data].[Date (Month)].[All]" allUniqueName="[KPI_Data].[Date (Month)].[All]" dimensionUniqueName="[KPI_Data]" displayFolder="" count="0" memberValueDatatype="130" unbalanced="0"/>
    <cacheHierarchy uniqueName="[KPI_Data].[Achivement]" caption="Achivement" attribute="1" defaultMemberUniqueName="[KPI_Data].[Achivement].[All]" allUniqueName="[KPI_Data].[Achivement].[All]" dimensionUniqueName="[KPI_Data]" displayFolder="" count="0" memberValueDatatype="5" unbalanced="0"/>
    <cacheHierarchy uniqueName="[KPI_Data].[Date (Month Index)]" caption="Date (Month Index)" attribute="1" defaultMemberUniqueName="[KPI_Data].[Date (Month Index)].[All]" allUniqueName="[KPI_Data].[Date (Month Index)].[All]" dimensionUniqueName="[KPI_Data]" displayFolder="" count="0" memberValueDatatype="20" unbalanced="0" hidden="1"/>
    <cacheHierarchy uniqueName="[Measures].[Sum of Sales]" caption="Sum of Sales" measure="1" displayFolder="" measureGroup="KPI_Data" count="0">
      <extLst>
        <ext xmlns:x15="http://schemas.microsoft.com/office/spreadsheetml/2010/11/main" uri="{B97F6D7D-B522-45F9-BDA1-12C45D357490}">
          <x15:cacheHierarchy aggregatedColumn="7"/>
        </ext>
      </extLst>
    </cacheHierarchy>
    <cacheHierarchy uniqueName="[Measures].[Sum of Achivement]" caption="Sum of Achivement" measure="1" displayFolder="" measureGroup="KPI_Data" count="0">
      <extLst>
        <ext xmlns:x15="http://schemas.microsoft.com/office/spreadsheetml/2010/11/main" uri="{B97F6D7D-B522-45F9-BDA1-12C45D357490}">
          <x15:cacheHierarchy aggregatedColumn="22"/>
        </ext>
      </extLst>
    </cacheHierarchy>
    <cacheHierarchy uniqueName="[Measures].[TotalRevenue]" caption="TotalRevenue" measure="1" displayFolder="" measureGroup="KPI_Data" count="0"/>
    <cacheHierarchy uniqueName="[Measures].[TotalCost]" caption="TotalCost" measure="1" displayFolder="" measureGroup="KPI_Data" count="0"/>
    <cacheHierarchy uniqueName="[Measures].[TotalProfit]" caption="TotalProfit" measure="1" displayFolder="" measureGroup="KPI_Data" count="0" oneField="1">
      <fieldsUsage count="1">
        <fieldUsage x="1"/>
      </fieldsUsage>
    </cacheHierarchy>
    <cacheHierarchy uniqueName="[Measures].[TotalSales]" caption="TotalSales" measure="1" displayFolder="" measureGroup="KPI_Data" count="0"/>
    <cacheHierarchy uniqueName="[Measures].[__XL_Count KPI_Data]" caption="__XL_Count KPI_Data" measure="1" displayFolder="" measureGroup="KPI_Data" count="0" hidden="1"/>
    <cacheHierarchy uniqueName="[Measures].[__No measures defined]" caption="__No measures defined" measure="1" displayFolder="" count="0" hidden="1"/>
    <cacheHierarchy uniqueName="[Measures].[_TotalSales Goal]" caption="_TotalSales Goal" measure="1" displayFolder="" measureGroup="KPI_Data" count="0" hidden="1"/>
    <cacheHierarchy uniqueName="[Measures].[_TotalSales Status]" caption="_TotalSales Status" measure="1" iconSet="7" displayFolder="" measureGroup="KPI_Data" count="0" hidden="1"/>
  </cacheHierarchies>
  <kpis count="1">
    <kpi uniqueName="TotalSales" caption="TotalSales" displayFolder="" measureGroup="KPI_Data" parent="" value="[Measures].[TotalSales]" goal="[Measures].[_TotalSales Goal]" status="[Measures].[_TotalSales Status]" trend="" weight=""/>
  </kpis>
  <dimensions count="2">
    <dimension name="KPI_Data" uniqueName="[KPI_Data]" caption="KPI_Data"/>
    <dimension measure="1" name="Measures" uniqueName="[Measures]" caption="Measures"/>
  </dimensions>
  <measureGroups count="1">
    <measureGroup name="KPI_Data" caption="KPI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Zampadiya" refreshedDate="46081.735532175924" createdVersion="5" refreshedVersion="8" minRefreshableVersion="3" recordCount="0" supportSubquery="1" supportAdvancedDrill="1" xr:uid="{AD24A206-1251-42FD-AE97-B8FD3A957879}">
  <cacheSource type="external" connectionId="3"/>
  <cacheFields count="5">
    <cacheField name="[KPI_Data].[DateH].[Year]" caption="Year" numFmtId="0" hierarchy="10" level="1">
      <sharedItems containsSemiMixedTypes="0" containsString="0" containsNumber="1" containsInteger="1" minValue="2023" maxValue="2023" count="1">
        <n v="2023"/>
      </sharedItems>
      <extLst>
        <ext xmlns:x15="http://schemas.microsoft.com/office/spreadsheetml/2010/11/main" uri="{4F2E5C28-24EA-4eb8-9CBF-B6C8F9C3D259}">
          <x15:cachedUniqueNames>
            <x15:cachedUniqueName index="0" name="[KPI_Data].[DateH].[Year].&amp;[2023]"/>
          </x15:cachedUniqueNames>
        </ext>
      </extLst>
    </cacheField>
    <cacheField name="[KPI_Data].[DateH].[Quarter]" caption="Quarter" numFmtId="0" hierarchy="10" level="2">
      <sharedItems count="4">
        <s v="2023Q1"/>
        <s v="2023Q2"/>
        <s v="2023Q3"/>
        <s v="2023Q4"/>
      </sharedItems>
      <extLst>
        <ext xmlns:x15="http://schemas.microsoft.com/office/spreadsheetml/2010/11/main" uri="{4F2E5C28-24EA-4eb8-9CBF-B6C8F9C3D259}">
          <x15:cachedUniqueNames>
            <x15:cachedUniqueName index="0" name="[KPI_Data].[DateH].[Quarter].&amp;[2023Q1]"/>
            <x15:cachedUniqueName index="1" name="[KPI_Data].[DateH].[Quarter].&amp;[2023Q2]"/>
            <x15:cachedUniqueName index="2" name="[KPI_Data].[DateH].[Quarter].&amp;[2023Q3]"/>
            <x15:cachedUniqueName index="3" name="[KPI_Data].[DateH].[Quarter].&amp;[2023Q4]"/>
          </x15:cachedUniqueNames>
        </ext>
      </extLst>
    </cacheField>
    <cacheField name="[KPI_Data].[DateH].[Month]" caption="Month" numFmtId="0" hierarchy="10" level="3">
      <sharedItems count="12">
        <s v="February"/>
        <s v="January"/>
        <s v="March"/>
        <s v="April"/>
        <s v="June"/>
        <s v="May"/>
        <s v="August"/>
        <s v="July"/>
        <s v="September"/>
        <s v="December"/>
        <s v="November"/>
        <s v="October"/>
      </sharedItems>
      <extLst>
        <ext xmlns:x15="http://schemas.microsoft.com/office/spreadsheetml/2010/11/main" uri="{4F2E5C28-24EA-4eb8-9CBF-B6C8F9C3D259}">
          <x15:cachedUniqueNames>
            <x15:cachedUniqueName index="0" name="[KPI_Data].[DateH].[Month].&amp;[February]"/>
            <x15:cachedUniqueName index="1" name="[KPI_Data].[DateH].[Month].&amp;[January]"/>
            <x15:cachedUniqueName index="2" name="[KPI_Data].[DateH].[Month].&amp;[March]"/>
            <x15:cachedUniqueName index="3" name="[KPI_Data].[DateH].[Month].&amp;[April]"/>
            <x15:cachedUniqueName index="4" name="[KPI_Data].[DateH].[Month].&amp;[June]"/>
            <x15:cachedUniqueName index="5" name="[KPI_Data].[DateH].[Month].&amp;[May]"/>
            <x15:cachedUniqueName index="6" name="[KPI_Data].[DateH].[Month].&amp;[August]"/>
            <x15:cachedUniqueName index="7" name="[KPI_Data].[DateH].[Month].&amp;[July]"/>
            <x15:cachedUniqueName index="8" name="[KPI_Data].[DateH].[Month].&amp;[September]"/>
            <x15:cachedUniqueName index="9" name="[KPI_Data].[DateH].[Month].&amp;[December]"/>
            <x15:cachedUniqueName index="10" name="[KPI_Data].[DateH].[Month].&amp;[November]"/>
            <x15:cachedUniqueName index="11" name="[KPI_Data].[DateH].[Month].&amp;[October]"/>
          </x15:cachedUniqueNames>
        </ext>
      </extLst>
    </cacheField>
    <cacheField name="[Measures].[Sum of Sales]" caption="Sum of Sales" numFmtId="0" hierarchy="24" level="32767"/>
    <cacheField name="[KPI_Data].[Region].[Region]" caption="Region" numFmtId="0" hierarchy="1" level="1">
      <sharedItems containsSemiMixedTypes="0" containsNonDate="0" containsString="0"/>
    </cacheField>
  </cacheFields>
  <cacheHierarchies count="34">
    <cacheHierarchy uniqueName="[KPI_Data].[SaleID]" caption="SaleID" attribute="1" defaultMemberUniqueName="[KPI_Data].[SaleID].[All]" allUniqueName="[KPI_Data].[SaleID].[All]" dimensionUniqueName="[KPI_Data]" displayFolder="" count="0" memberValueDatatype="20" unbalanced="0"/>
    <cacheHierarchy uniqueName="[KPI_Data].[Region]" caption="Region" attribute="1" defaultMemberUniqueName="[KPI_Data].[Region].[All]" allUniqueName="[KPI_Data].[Region].[All]" dimensionUniqueName="[KPI_Data]" displayFolder="" count="2" memberValueDatatype="130" unbalanced="0">
      <fieldsUsage count="2">
        <fieldUsage x="-1"/>
        <fieldUsage x="4"/>
      </fieldsUsage>
    </cacheHierarchy>
    <cacheHierarchy uniqueName="[KPI_Data].[Category]" caption="Category" attribute="1" defaultMemberUniqueName="[KPI_Data].[Category].[All]" allUniqueName="[KPI_Data].[Category].[All]" dimensionUniqueName="[KPI_Data]" displayFolder="" count="0" memberValueDatatype="130" unbalanced="0"/>
    <cacheHierarchy uniqueName="[KPI_Data].[Product]" caption="Product" attribute="1" defaultMemberUniqueName="[KPI_Data].[Product].[All]" allUniqueName="[KPI_Data].[Product].[All]" dimensionUniqueName="[KPI_Data]" displayFolder="" count="0" memberValueDatatype="130" unbalanced="0"/>
    <cacheHierarchy uniqueName="[KPI_Data].[Date]" caption="Date" attribute="1" time="1" defaultMemberUniqueName="[KPI_Data].[Date].[All]" allUniqueName="[KPI_Data].[Date].[All]" dimensionUniqueName="[KPI_Data]" displayFolder="" count="2" memberValueDatatype="7" unbalanced="0"/>
    <cacheHierarchy uniqueName="[KPI_Data].[Quantity]" caption="Quantity" attribute="1" defaultMemberUniqueName="[KPI_Data].[Quantity].[All]" allUniqueName="[KPI_Data].[Quantity].[All]" dimensionUniqueName="[KPI_Data]" displayFolder="" count="0" memberValueDatatype="20" unbalanced="0"/>
    <cacheHierarchy uniqueName="[KPI_Data].[UnitPrice]" caption="UnitPrice" attribute="1" defaultMemberUniqueName="[KPI_Data].[UnitPrice].[All]" allUniqueName="[KPI_Data].[UnitPrice].[All]" dimensionUniqueName="[KPI_Data]" displayFolder="" count="0" memberValueDatatype="20" unbalanced="0"/>
    <cacheHierarchy uniqueName="[KPI_Data].[Sales]" caption="Sales" attribute="1" defaultMemberUniqueName="[KPI_Data].[Sales].[All]" allUniqueName="[KPI_Data].[Sales].[All]" dimensionUniqueName="[KPI_Data]" displayFolder="" count="0" memberValueDatatype="20" unbalanced="0"/>
    <cacheHierarchy uniqueName="[KPI_Data].[Target]" caption="Target" attribute="1" defaultMemberUniqueName="[KPI_Data].[Target].[All]" allUniqueName="[KPI_Data].[Target].[All]" dimensionUniqueName="[KPI_Data]" displayFolder="" count="0" memberValueDatatype="20" unbalanced="0"/>
    <cacheHierarchy uniqueName="[KPI_Data].[Year]" caption="Year" attribute="1" defaultMemberUniqueName="[KPI_Data].[Year].[All]" allUniqueName="[KPI_Data].[Year].[All]" dimensionUniqueName="[KPI_Data]" displayFolder="" count="0" memberValueDatatype="20" unbalanced="0"/>
    <cacheHierarchy uniqueName="[KPI_Data].[DateH]" caption="DateH" defaultMemberUniqueName="[KPI_Data].[DateH].[All]" allUniqueName="[KPI_Data].[DateH].[All]" dimensionUniqueName="[KPI_Data]" displayFolder="" count="4" unbalanced="0">
      <fieldsUsage count="4">
        <fieldUsage x="-1"/>
        <fieldUsage x="0"/>
        <fieldUsage x="1"/>
        <fieldUsage x="2"/>
      </fieldsUsage>
    </cacheHierarchy>
    <cacheHierarchy uniqueName="[KPI_Data].[Quarter]" caption="Quarter" attribute="1" defaultMemberUniqueName="[KPI_Data].[Quarter].[All]" allUniqueName="[KPI_Data].[Quarter].[All]" dimensionUniqueName="[KPI_Data]" displayFolder="" count="0" memberValueDatatype="130" unbalanced="0"/>
    <cacheHierarchy uniqueName="[KPI_Data].[Month]" caption="Month" attribute="1" defaultMemberUniqueName="[KPI_Data].[Month].[All]" allUniqueName="[KPI_Data].[Month].[All]" dimensionUniqueName="[KPI_Data]" displayFolder="" count="0" memberValueDatatype="130" unbalanced="0"/>
    <cacheHierarchy uniqueName="[KPI_Data].[Target_Left]" caption="Target_Left" attribute="1" defaultMemberUniqueName="[KPI_Data].[Target_Left].[All]" allUniqueName="[KPI_Data].[Target_Left].[All]" dimensionUniqueName="[KPI_Data]" displayFolder="" count="0" memberValueDatatype="20" unbalanced="0"/>
    <cacheHierarchy uniqueName="[KPI_Data].[Column14]" caption="Column14" attribute="1" defaultMemberUniqueName="[KPI_Data].[Column14].[All]" allUniqueName="[KPI_Data].[Column14].[All]" dimensionUniqueName="[KPI_Data]" displayFolder="" count="0" memberValueDatatype="11" unbalanced="0"/>
    <cacheHierarchy uniqueName="[KPI_Data].[Checkbox]" caption="Checkbox" attribute="1" defaultMemberUniqueName="[KPI_Data].[Checkbox].[All]" allUniqueName="[KPI_Data].[Checkbox].[All]" dimensionUniqueName="[KPI_Data]" displayFolder="" count="0" memberValueDatatype="130" unbalanced="0"/>
    <cacheHierarchy uniqueName="[KPI_Data].[Dropdown]" caption="Dropdown" attribute="1" defaultMemberUniqueName="[KPI_Data].[Dropdown].[All]" allUniqueName="[KPI_Data].[Dropdown].[All]" dimensionUniqueName="[KPI_Data]" displayFolder="" count="0" memberValueDatatype="20" unbalanced="0"/>
    <cacheHierarchy uniqueName="[KPI_Data].[Column17]" caption="Column17" attribute="1" defaultMemberUniqueName="[KPI_Data].[Column17].[All]" allUniqueName="[KPI_Data].[Column17].[All]" dimensionUniqueName="[KPI_Data]" displayFolder="" count="0" memberValueDatatype="20" unbalanced="0"/>
    <cacheHierarchy uniqueName="[KPI_Data].[Column18]" caption="Column18" attribute="1" defaultMemberUniqueName="[KPI_Data].[Column18].[All]" allUniqueName="[KPI_Data].[Column18].[All]" dimensionUniqueName="[KPI_Data]" displayFolder="" count="0" memberValueDatatype="130" unbalanced="0"/>
    <cacheHierarchy uniqueName="[KPI_Data].[Date (Year)]" caption="Date (Year)" attribute="1" defaultMemberUniqueName="[KPI_Data].[Date (Year)].[All]" allUniqueName="[KPI_Data].[Date (Year)].[All]" dimensionUniqueName="[KPI_Data]" displayFolder="" count="0" memberValueDatatype="130" unbalanced="0"/>
    <cacheHierarchy uniqueName="[KPI_Data].[Date (Quarter)]" caption="Date (Quarter)" attribute="1" defaultMemberUniqueName="[KPI_Data].[Date (Quarter)].[All]" allUniqueName="[KPI_Data].[Date (Quarter)].[All]" dimensionUniqueName="[KPI_Data]" displayFolder="" count="0" memberValueDatatype="130" unbalanced="0"/>
    <cacheHierarchy uniqueName="[KPI_Data].[Date (Month)]" caption="Date (Month)" attribute="1" defaultMemberUniqueName="[KPI_Data].[Date (Month)].[All]" allUniqueName="[KPI_Data].[Date (Month)].[All]" dimensionUniqueName="[KPI_Data]" displayFolder="" count="0" memberValueDatatype="130" unbalanced="0"/>
    <cacheHierarchy uniqueName="[KPI_Data].[Achivement]" caption="Achivement" attribute="1" defaultMemberUniqueName="[KPI_Data].[Achivement].[All]" allUniqueName="[KPI_Data].[Achivement].[All]" dimensionUniqueName="[KPI_Data]" displayFolder="" count="0" memberValueDatatype="5" unbalanced="0"/>
    <cacheHierarchy uniqueName="[KPI_Data].[Date (Month Index)]" caption="Date (Month Index)" attribute="1" defaultMemberUniqueName="[KPI_Data].[Date (Month Index)].[All]" allUniqueName="[KPI_Data].[Date (Month Index)].[All]" dimensionUniqueName="[KPI_Data]" displayFolder="" count="0" memberValueDatatype="20" unbalanced="0" hidden="1"/>
    <cacheHierarchy uniqueName="[Measures].[Sum of Sales]" caption="Sum of Sales" measure="1" displayFolder="" measureGroup="KPI_Data" count="0" oneField="1">
      <fieldsUsage count="1">
        <fieldUsage x="3"/>
      </fieldsUsage>
      <extLst>
        <ext xmlns:x15="http://schemas.microsoft.com/office/spreadsheetml/2010/11/main" uri="{B97F6D7D-B522-45F9-BDA1-12C45D357490}">
          <x15:cacheHierarchy aggregatedColumn="7"/>
        </ext>
      </extLst>
    </cacheHierarchy>
    <cacheHierarchy uniqueName="[Measures].[Sum of Achivement]" caption="Sum of Achivement" measure="1" displayFolder="" measureGroup="KPI_Data" count="0">
      <extLst>
        <ext xmlns:x15="http://schemas.microsoft.com/office/spreadsheetml/2010/11/main" uri="{B97F6D7D-B522-45F9-BDA1-12C45D357490}">
          <x15:cacheHierarchy aggregatedColumn="22"/>
        </ext>
      </extLst>
    </cacheHierarchy>
    <cacheHierarchy uniqueName="[Measures].[TotalRevenue]" caption="TotalRevenue" measure="1" displayFolder="" measureGroup="KPI_Data" count="0"/>
    <cacheHierarchy uniqueName="[Measures].[TotalCost]" caption="TotalCost" measure="1" displayFolder="" measureGroup="KPI_Data" count="0"/>
    <cacheHierarchy uniqueName="[Measures].[TotalProfit]" caption="TotalProfit" measure="1" displayFolder="" measureGroup="KPI_Data" count="0"/>
    <cacheHierarchy uniqueName="[Measures].[TotalSales]" caption="TotalSales" measure="1" displayFolder="" measureGroup="KPI_Data" count="0"/>
    <cacheHierarchy uniqueName="[Measures].[__XL_Count KPI_Data]" caption="__XL_Count KPI_Data" measure="1" displayFolder="" measureGroup="KPI_Data" count="0" hidden="1"/>
    <cacheHierarchy uniqueName="[Measures].[__No measures defined]" caption="__No measures defined" measure="1" displayFolder="" count="0" hidden="1"/>
    <cacheHierarchy uniqueName="[Measures].[_TotalSales Goal]" caption="_TotalSales Goal" measure="1" displayFolder="" measureGroup="KPI_Data" count="0" hidden="1"/>
    <cacheHierarchy uniqueName="[Measures].[_TotalSales Status]" caption="_TotalSales Status" measure="1" iconSet="7" displayFolder="" measureGroup="KPI_Data" count="0" hidden="1"/>
  </cacheHierarchies>
  <kpis count="1">
    <kpi uniqueName="TotalSales" caption="TotalSales" displayFolder="" measureGroup="KPI_Data" parent="" value="[Measures].[TotalSales]" goal="[Measures].[_TotalSales Goal]" status="[Measures].[_TotalSales Status]" trend="" weight=""/>
  </kpis>
  <dimensions count="2">
    <dimension name="KPI_Data" uniqueName="[KPI_Data]" caption="KPI_Data"/>
    <dimension measure="1" name="Measures" uniqueName="[Measures]" caption="Measures"/>
  </dimensions>
  <measureGroups count="1">
    <measureGroup name="KPI_Data" caption="KPI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Zampadiya" refreshedDate="46081.73553622685" createdVersion="5" refreshedVersion="8" minRefreshableVersion="3" recordCount="0" supportSubquery="1" supportAdvancedDrill="1" xr:uid="{87E5F811-828D-460D-83EA-BBC1855E1CD4}">
  <cacheSource type="external" connectionId="3"/>
  <cacheFields count="3">
    <cacheField name="[KPI_Data].[Category].[Category]" caption="Category" numFmtId="0" hierarchy="2" level="1">
      <sharedItems count="5">
        <s v="Books"/>
        <s v="Clothing"/>
        <s v="Electronics"/>
        <s v="Food"/>
        <s v="Furniture"/>
      </sharedItems>
    </cacheField>
    <cacheField name="[Measures].[Sum of Sales]" caption="Sum of Sales" numFmtId="0" hierarchy="24" level="32767"/>
    <cacheField name="[KPI_Data].[Region].[Region]" caption="Region" numFmtId="0" hierarchy="1" level="1">
      <sharedItems containsSemiMixedTypes="0" containsNonDate="0" containsString="0"/>
    </cacheField>
  </cacheFields>
  <cacheHierarchies count="34">
    <cacheHierarchy uniqueName="[KPI_Data].[SaleID]" caption="SaleID" attribute="1" defaultMemberUniqueName="[KPI_Data].[SaleID].[All]" allUniqueName="[KPI_Data].[SaleID].[All]" dimensionUniqueName="[KPI_Data]" displayFolder="" count="0" memberValueDatatype="20" unbalanced="0"/>
    <cacheHierarchy uniqueName="[KPI_Data].[Region]" caption="Region" attribute="1" defaultMemberUniqueName="[KPI_Data].[Region].[All]" allUniqueName="[KPI_Data].[Region].[All]" dimensionUniqueName="[KPI_Data]" displayFolder="" count="2" memberValueDatatype="130" unbalanced="0">
      <fieldsUsage count="2">
        <fieldUsage x="-1"/>
        <fieldUsage x="2"/>
      </fieldsUsage>
    </cacheHierarchy>
    <cacheHierarchy uniqueName="[KPI_Data].[Category]" caption="Category" attribute="1" defaultMemberUniqueName="[KPI_Data].[Category].[All]" allUniqueName="[KPI_Data].[Category].[All]" dimensionUniqueName="[KPI_Data]" displayFolder="" count="2" memberValueDatatype="130" unbalanced="0">
      <fieldsUsage count="2">
        <fieldUsage x="-1"/>
        <fieldUsage x="0"/>
      </fieldsUsage>
    </cacheHierarchy>
    <cacheHierarchy uniqueName="[KPI_Data].[Product]" caption="Product" attribute="1" defaultMemberUniqueName="[KPI_Data].[Product].[All]" allUniqueName="[KPI_Data].[Product].[All]" dimensionUniqueName="[KPI_Data]" displayFolder="" count="0" memberValueDatatype="130" unbalanced="0"/>
    <cacheHierarchy uniqueName="[KPI_Data].[Date]" caption="Date" attribute="1" time="1" defaultMemberUniqueName="[KPI_Data].[Date].[All]" allUniqueName="[KPI_Data].[Date].[All]" dimensionUniqueName="[KPI_Data]" displayFolder="" count="2" memberValueDatatype="7" unbalanced="0"/>
    <cacheHierarchy uniqueName="[KPI_Data].[Quantity]" caption="Quantity" attribute="1" defaultMemberUniqueName="[KPI_Data].[Quantity].[All]" allUniqueName="[KPI_Data].[Quantity].[All]" dimensionUniqueName="[KPI_Data]" displayFolder="" count="0" memberValueDatatype="20" unbalanced="0"/>
    <cacheHierarchy uniqueName="[KPI_Data].[UnitPrice]" caption="UnitPrice" attribute="1" defaultMemberUniqueName="[KPI_Data].[UnitPrice].[All]" allUniqueName="[KPI_Data].[UnitPrice].[All]" dimensionUniqueName="[KPI_Data]" displayFolder="" count="0" memberValueDatatype="20" unbalanced="0"/>
    <cacheHierarchy uniqueName="[KPI_Data].[Sales]" caption="Sales" attribute="1" defaultMemberUniqueName="[KPI_Data].[Sales].[All]" allUniqueName="[KPI_Data].[Sales].[All]" dimensionUniqueName="[KPI_Data]" displayFolder="" count="0" memberValueDatatype="20" unbalanced="0"/>
    <cacheHierarchy uniqueName="[KPI_Data].[Target]" caption="Target" attribute="1" defaultMemberUniqueName="[KPI_Data].[Target].[All]" allUniqueName="[KPI_Data].[Target].[All]" dimensionUniqueName="[KPI_Data]" displayFolder="" count="0" memberValueDatatype="20" unbalanced="0"/>
    <cacheHierarchy uniqueName="[KPI_Data].[Year]" caption="Year" attribute="1" defaultMemberUniqueName="[KPI_Data].[Year].[All]" allUniqueName="[KPI_Data].[Year].[All]" dimensionUniqueName="[KPI_Data]" displayFolder="" count="0" memberValueDatatype="20" unbalanced="0"/>
    <cacheHierarchy uniqueName="[KPI_Data].[DateH]" caption="DateH" defaultMemberUniqueName="[KPI_Data].[DateH].[All]" allUniqueName="[KPI_Data].[DateH].[All]" dimensionUniqueName="[KPI_Data]" displayFolder="" count="0" unbalanced="0"/>
    <cacheHierarchy uniqueName="[KPI_Data].[Quarter]" caption="Quarter" attribute="1" defaultMemberUniqueName="[KPI_Data].[Quarter].[All]" allUniqueName="[KPI_Data].[Quarter].[All]" dimensionUniqueName="[KPI_Data]" displayFolder="" count="0" memberValueDatatype="130" unbalanced="0"/>
    <cacheHierarchy uniqueName="[KPI_Data].[Month]" caption="Month" attribute="1" defaultMemberUniqueName="[KPI_Data].[Month].[All]" allUniqueName="[KPI_Data].[Month].[All]" dimensionUniqueName="[KPI_Data]" displayFolder="" count="0" memberValueDatatype="130" unbalanced="0"/>
    <cacheHierarchy uniqueName="[KPI_Data].[Target_Left]" caption="Target_Left" attribute="1" defaultMemberUniqueName="[KPI_Data].[Target_Left].[All]" allUniqueName="[KPI_Data].[Target_Left].[All]" dimensionUniqueName="[KPI_Data]" displayFolder="" count="0" memberValueDatatype="20" unbalanced="0"/>
    <cacheHierarchy uniqueName="[KPI_Data].[Column14]" caption="Column14" attribute="1" defaultMemberUniqueName="[KPI_Data].[Column14].[All]" allUniqueName="[KPI_Data].[Column14].[All]" dimensionUniqueName="[KPI_Data]" displayFolder="" count="0" memberValueDatatype="11" unbalanced="0"/>
    <cacheHierarchy uniqueName="[KPI_Data].[Checkbox]" caption="Checkbox" attribute="1" defaultMemberUniqueName="[KPI_Data].[Checkbox].[All]" allUniqueName="[KPI_Data].[Checkbox].[All]" dimensionUniqueName="[KPI_Data]" displayFolder="" count="0" memberValueDatatype="130" unbalanced="0"/>
    <cacheHierarchy uniqueName="[KPI_Data].[Dropdown]" caption="Dropdown" attribute="1" defaultMemberUniqueName="[KPI_Data].[Dropdown].[All]" allUniqueName="[KPI_Data].[Dropdown].[All]" dimensionUniqueName="[KPI_Data]" displayFolder="" count="0" memberValueDatatype="20" unbalanced="0"/>
    <cacheHierarchy uniqueName="[KPI_Data].[Column17]" caption="Column17" attribute="1" defaultMemberUniqueName="[KPI_Data].[Column17].[All]" allUniqueName="[KPI_Data].[Column17].[All]" dimensionUniqueName="[KPI_Data]" displayFolder="" count="0" memberValueDatatype="20" unbalanced="0"/>
    <cacheHierarchy uniqueName="[KPI_Data].[Column18]" caption="Column18" attribute="1" defaultMemberUniqueName="[KPI_Data].[Column18].[All]" allUniqueName="[KPI_Data].[Column18].[All]" dimensionUniqueName="[KPI_Data]" displayFolder="" count="0" memberValueDatatype="130" unbalanced="0"/>
    <cacheHierarchy uniqueName="[KPI_Data].[Date (Year)]" caption="Date (Year)" attribute="1" defaultMemberUniqueName="[KPI_Data].[Date (Year)].[All]" allUniqueName="[KPI_Data].[Date (Year)].[All]" dimensionUniqueName="[KPI_Data]" displayFolder="" count="0" memberValueDatatype="130" unbalanced="0"/>
    <cacheHierarchy uniqueName="[KPI_Data].[Date (Quarter)]" caption="Date (Quarter)" attribute="1" defaultMemberUniqueName="[KPI_Data].[Date (Quarter)].[All]" allUniqueName="[KPI_Data].[Date (Quarter)].[All]" dimensionUniqueName="[KPI_Data]" displayFolder="" count="0" memberValueDatatype="130" unbalanced="0"/>
    <cacheHierarchy uniqueName="[KPI_Data].[Date (Month)]" caption="Date (Month)" attribute="1" defaultMemberUniqueName="[KPI_Data].[Date (Month)].[All]" allUniqueName="[KPI_Data].[Date (Month)].[All]" dimensionUniqueName="[KPI_Data]" displayFolder="" count="0" memberValueDatatype="130" unbalanced="0"/>
    <cacheHierarchy uniqueName="[KPI_Data].[Achivement]" caption="Achivement" attribute="1" defaultMemberUniqueName="[KPI_Data].[Achivement].[All]" allUniqueName="[KPI_Data].[Achivement].[All]" dimensionUniqueName="[KPI_Data]" displayFolder="" count="0" memberValueDatatype="5" unbalanced="0"/>
    <cacheHierarchy uniqueName="[KPI_Data].[Date (Month Index)]" caption="Date (Month Index)" attribute="1" defaultMemberUniqueName="[KPI_Data].[Date (Month Index)].[All]" allUniqueName="[KPI_Data].[Date (Month Index)].[All]" dimensionUniqueName="[KPI_Data]" displayFolder="" count="0" memberValueDatatype="20" unbalanced="0" hidden="1"/>
    <cacheHierarchy uniqueName="[Measures].[Sum of Sales]" caption="Sum of Sales" measure="1" displayFolder="" measureGroup="KPI_Data" count="0" oneField="1">
      <fieldsUsage count="1">
        <fieldUsage x="1"/>
      </fieldsUsage>
      <extLst>
        <ext xmlns:x15="http://schemas.microsoft.com/office/spreadsheetml/2010/11/main" uri="{B97F6D7D-B522-45F9-BDA1-12C45D357490}">
          <x15:cacheHierarchy aggregatedColumn="7"/>
        </ext>
      </extLst>
    </cacheHierarchy>
    <cacheHierarchy uniqueName="[Measures].[Sum of Achivement]" caption="Sum of Achivement" measure="1" displayFolder="" measureGroup="KPI_Data" count="0">
      <extLst>
        <ext xmlns:x15="http://schemas.microsoft.com/office/spreadsheetml/2010/11/main" uri="{B97F6D7D-B522-45F9-BDA1-12C45D357490}">
          <x15:cacheHierarchy aggregatedColumn="22"/>
        </ext>
      </extLst>
    </cacheHierarchy>
    <cacheHierarchy uniqueName="[Measures].[TotalRevenue]" caption="TotalRevenue" measure="1" displayFolder="" measureGroup="KPI_Data" count="0"/>
    <cacheHierarchy uniqueName="[Measures].[TotalCost]" caption="TotalCost" measure="1" displayFolder="" measureGroup="KPI_Data" count="0"/>
    <cacheHierarchy uniqueName="[Measures].[TotalProfit]" caption="TotalProfit" measure="1" displayFolder="" measureGroup="KPI_Data" count="0"/>
    <cacheHierarchy uniqueName="[Measures].[TotalSales]" caption="TotalSales" measure="1" displayFolder="" measureGroup="KPI_Data" count="0"/>
    <cacheHierarchy uniqueName="[Measures].[__XL_Count KPI_Data]" caption="__XL_Count KPI_Data" measure="1" displayFolder="" measureGroup="KPI_Data" count="0" hidden="1"/>
    <cacheHierarchy uniqueName="[Measures].[__No measures defined]" caption="__No measures defined" measure="1" displayFolder="" count="0" hidden="1"/>
    <cacheHierarchy uniqueName="[Measures].[_TotalSales Goal]" caption="_TotalSales Goal" measure="1" displayFolder="" measureGroup="KPI_Data" count="0" hidden="1"/>
    <cacheHierarchy uniqueName="[Measures].[_TotalSales Status]" caption="_TotalSales Status" measure="1" iconSet="7" displayFolder="" measureGroup="KPI_Data" count="0" hidden="1"/>
  </cacheHierarchies>
  <kpis count="1">
    <kpi uniqueName="TotalSales" caption="TotalSales" displayFolder="" measureGroup="KPI_Data" parent="" value="[Measures].[TotalSales]" goal="[Measures].[_TotalSales Goal]" status="[Measures].[_TotalSales Status]" trend="" weight=""/>
  </kpis>
  <dimensions count="2">
    <dimension name="KPI_Data" uniqueName="[KPI_Data]" caption="KPI_Data"/>
    <dimension measure="1" name="Measures" uniqueName="[Measures]" caption="Measures"/>
  </dimensions>
  <measureGroups count="1">
    <measureGroup name="KPI_Data" caption="KPI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Zampadiya" refreshedDate="46081.735538657405" createdVersion="5" refreshedVersion="8" minRefreshableVersion="3" recordCount="0" supportSubquery="1" supportAdvancedDrill="1" xr:uid="{CD2C8449-7E38-49B6-ABB2-976277816C07}">
  <cacheSource type="external" connectionId="3"/>
  <cacheFields count="2">
    <cacheField name="[KPI_Data].[Region].[Region]" caption="Region" numFmtId="0" hierarchy="1" level="1">
      <sharedItems count="4">
        <s v="East"/>
        <s v="North"/>
        <s v="South"/>
        <s v="West"/>
      </sharedItems>
    </cacheField>
    <cacheField name="[Measures].[Sum of Sales]" caption="Sum of Sales" numFmtId="0" hierarchy="24" level="32767"/>
  </cacheFields>
  <cacheHierarchies count="34">
    <cacheHierarchy uniqueName="[KPI_Data].[SaleID]" caption="SaleID" attribute="1" defaultMemberUniqueName="[KPI_Data].[SaleID].[All]" allUniqueName="[KPI_Data].[SaleID].[All]" dimensionUniqueName="[KPI_Data]" displayFolder="" count="0" memberValueDatatype="20" unbalanced="0"/>
    <cacheHierarchy uniqueName="[KPI_Data].[Region]" caption="Region" attribute="1" defaultMemberUniqueName="[KPI_Data].[Region].[All]" allUniqueName="[KPI_Data].[Region].[All]" dimensionUniqueName="[KPI_Data]" displayFolder="" count="2" memberValueDatatype="130" unbalanced="0">
      <fieldsUsage count="2">
        <fieldUsage x="-1"/>
        <fieldUsage x="0"/>
      </fieldsUsage>
    </cacheHierarchy>
    <cacheHierarchy uniqueName="[KPI_Data].[Category]" caption="Category" attribute="1" defaultMemberUniqueName="[KPI_Data].[Category].[All]" allUniqueName="[KPI_Data].[Category].[All]" dimensionUniqueName="[KPI_Data]" displayFolder="" count="0" memberValueDatatype="130" unbalanced="0"/>
    <cacheHierarchy uniqueName="[KPI_Data].[Product]" caption="Product" attribute="1" defaultMemberUniqueName="[KPI_Data].[Product].[All]" allUniqueName="[KPI_Data].[Product].[All]" dimensionUniqueName="[KPI_Data]" displayFolder="" count="0" memberValueDatatype="130" unbalanced="0"/>
    <cacheHierarchy uniqueName="[KPI_Data].[Date]" caption="Date" attribute="1" time="1" defaultMemberUniqueName="[KPI_Data].[Date].[All]" allUniqueName="[KPI_Data].[Date].[All]" dimensionUniqueName="[KPI_Data]" displayFolder="" count="2" memberValueDatatype="7" unbalanced="0"/>
    <cacheHierarchy uniqueName="[KPI_Data].[Quantity]" caption="Quantity" attribute="1" defaultMemberUniqueName="[KPI_Data].[Quantity].[All]" allUniqueName="[KPI_Data].[Quantity].[All]" dimensionUniqueName="[KPI_Data]" displayFolder="" count="0" memberValueDatatype="20" unbalanced="0"/>
    <cacheHierarchy uniqueName="[KPI_Data].[UnitPrice]" caption="UnitPrice" attribute="1" defaultMemberUniqueName="[KPI_Data].[UnitPrice].[All]" allUniqueName="[KPI_Data].[UnitPrice].[All]" dimensionUniqueName="[KPI_Data]" displayFolder="" count="0" memberValueDatatype="20" unbalanced="0"/>
    <cacheHierarchy uniqueName="[KPI_Data].[Sales]" caption="Sales" attribute="1" defaultMemberUniqueName="[KPI_Data].[Sales].[All]" allUniqueName="[KPI_Data].[Sales].[All]" dimensionUniqueName="[KPI_Data]" displayFolder="" count="0" memberValueDatatype="20" unbalanced="0"/>
    <cacheHierarchy uniqueName="[KPI_Data].[Target]" caption="Target" attribute="1" defaultMemberUniqueName="[KPI_Data].[Target].[All]" allUniqueName="[KPI_Data].[Target].[All]" dimensionUniqueName="[KPI_Data]" displayFolder="" count="0" memberValueDatatype="20" unbalanced="0"/>
    <cacheHierarchy uniqueName="[KPI_Data].[Year]" caption="Year" attribute="1" defaultMemberUniqueName="[KPI_Data].[Year].[All]" allUniqueName="[KPI_Data].[Year].[All]" dimensionUniqueName="[KPI_Data]" displayFolder="" count="0" memberValueDatatype="20" unbalanced="0"/>
    <cacheHierarchy uniqueName="[KPI_Data].[DateH]" caption="DateH" defaultMemberUniqueName="[KPI_Data].[DateH].[All]" allUniqueName="[KPI_Data].[DateH].[All]" dimensionUniqueName="[KPI_Data]" displayFolder="" count="0" unbalanced="0"/>
    <cacheHierarchy uniqueName="[KPI_Data].[Quarter]" caption="Quarter" attribute="1" defaultMemberUniqueName="[KPI_Data].[Quarter].[All]" allUniqueName="[KPI_Data].[Quarter].[All]" dimensionUniqueName="[KPI_Data]" displayFolder="" count="0" memberValueDatatype="130" unbalanced="0"/>
    <cacheHierarchy uniqueName="[KPI_Data].[Month]" caption="Month" attribute="1" defaultMemberUniqueName="[KPI_Data].[Month].[All]" allUniqueName="[KPI_Data].[Month].[All]" dimensionUniqueName="[KPI_Data]" displayFolder="" count="0" memberValueDatatype="130" unbalanced="0"/>
    <cacheHierarchy uniqueName="[KPI_Data].[Target_Left]" caption="Target_Left" attribute="1" defaultMemberUniqueName="[KPI_Data].[Target_Left].[All]" allUniqueName="[KPI_Data].[Target_Left].[All]" dimensionUniqueName="[KPI_Data]" displayFolder="" count="0" memberValueDatatype="20" unbalanced="0"/>
    <cacheHierarchy uniqueName="[KPI_Data].[Column14]" caption="Column14" attribute="1" defaultMemberUniqueName="[KPI_Data].[Column14].[All]" allUniqueName="[KPI_Data].[Column14].[All]" dimensionUniqueName="[KPI_Data]" displayFolder="" count="0" memberValueDatatype="11" unbalanced="0"/>
    <cacheHierarchy uniqueName="[KPI_Data].[Checkbox]" caption="Checkbox" attribute="1" defaultMemberUniqueName="[KPI_Data].[Checkbox].[All]" allUniqueName="[KPI_Data].[Checkbox].[All]" dimensionUniqueName="[KPI_Data]" displayFolder="" count="0" memberValueDatatype="130" unbalanced="0"/>
    <cacheHierarchy uniqueName="[KPI_Data].[Dropdown]" caption="Dropdown" attribute="1" defaultMemberUniqueName="[KPI_Data].[Dropdown].[All]" allUniqueName="[KPI_Data].[Dropdown].[All]" dimensionUniqueName="[KPI_Data]" displayFolder="" count="0" memberValueDatatype="20" unbalanced="0"/>
    <cacheHierarchy uniqueName="[KPI_Data].[Column17]" caption="Column17" attribute="1" defaultMemberUniqueName="[KPI_Data].[Column17].[All]" allUniqueName="[KPI_Data].[Column17].[All]" dimensionUniqueName="[KPI_Data]" displayFolder="" count="0" memberValueDatatype="20" unbalanced="0"/>
    <cacheHierarchy uniqueName="[KPI_Data].[Column18]" caption="Column18" attribute="1" defaultMemberUniqueName="[KPI_Data].[Column18].[All]" allUniqueName="[KPI_Data].[Column18].[All]" dimensionUniqueName="[KPI_Data]" displayFolder="" count="0" memberValueDatatype="130" unbalanced="0"/>
    <cacheHierarchy uniqueName="[KPI_Data].[Date (Year)]" caption="Date (Year)" attribute="1" defaultMemberUniqueName="[KPI_Data].[Date (Year)].[All]" allUniqueName="[KPI_Data].[Date (Year)].[All]" dimensionUniqueName="[KPI_Data]" displayFolder="" count="0" memberValueDatatype="130" unbalanced="0"/>
    <cacheHierarchy uniqueName="[KPI_Data].[Date (Quarter)]" caption="Date (Quarter)" attribute="1" defaultMemberUniqueName="[KPI_Data].[Date (Quarter)].[All]" allUniqueName="[KPI_Data].[Date (Quarter)].[All]" dimensionUniqueName="[KPI_Data]" displayFolder="" count="0" memberValueDatatype="130" unbalanced="0"/>
    <cacheHierarchy uniqueName="[KPI_Data].[Date (Month)]" caption="Date (Month)" attribute="1" defaultMemberUniqueName="[KPI_Data].[Date (Month)].[All]" allUniqueName="[KPI_Data].[Date (Month)].[All]" dimensionUniqueName="[KPI_Data]" displayFolder="" count="0" memberValueDatatype="130" unbalanced="0"/>
    <cacheHierarchy uniqueName="[KPI_Data].[Achivement]" caption="Achivement" attribute="1" defaultMemberUniqueName="[KPI_Data].[Achivement].[All]" allUniqueName="[KPI_Data].[Achivement].[All]" dimensionUniqueName="[KPI_Data]" displayFolder="" count="0" memberValueDatatype="5" unbalanced="0"/>
    <cacheHierarchy uniqueName="[KPI_Data].[Date (Month Index)]" caption="Date (Month Index)" attribute="1" defaultMemberUniqueName="[KPI_Data].[Date (Month Index)].[All]" allUniqueName="[KPI_Data].[Date (Month Index)].[All]" dimensionUniqueName="[KPI_Data]" displayFolder="" count="0" memberValueDatatype="20" unbalanced="0" hidden="1"/>
    <cacheHierarchy uniqueName="[Measures].[Sum of Sales]" caption="Sum of Sales" measure="1" displayFolder="" measureGroup="KPI_Data" count="0" oneField="1">
      <fieldsUsage count="1">
        <fieldUsage x="1"/>
      </fieldsUsage>
      <extLst>
        <ext xmlns:x15="http://schemas.microsoft.com/office/spreadsheetml/2010/11/main" uri="{B97F6D7D-B522-45F9-BDA1-12C45D357490}">
          <x15:cacheHierarchy aggregatedColumn="7"/>
        </ext>
      </extLst>
    </cacheHierarchy>
    <cacheHierarchy uniqueName="[Measures].[Sum of Achivement]" caption="Sum of Achivement" measure="1" displayFolder="" measureGroup="KPI_Data" count="0">
      <extLst>
        <ext xmlns:x15="http://schemas.microsoft.com/office/spreadsheetml/2010/11/main" uri="{B97F6D7D-B522-45F9-BDA1-12C45D357490}">
          <x15:cacheHierarchy aggregatedColumn="22"/>
        </ext>
      </extLst>
    </cacheHierarchy>
    <cacheHierarchy uniqueName="[Measures].[TotalRevenue]" caption="TotalRevenue" measure="1" displayFolder="" measureGroup="KPI_Data" count="0"/>
    <cacheHierarchy uniqueName="[Measures].[TotalCost]" caption="TotalCost" measure="1" displayFolder="" measureGroup="KPI_Data" count="0"/>
    <cacheHierarchy uniqueName="[Measures].[TotalProfit]" caption="TotalProfit" measure="1" displayFolder="" measureGroup="KPI_Data" count="0"/>
    <cacheHierarchy uniqueName="[Measures].[TotalSales]" caption="TotalSales" measure="1" displayFolder="" measureGroup="KPI_Data" count="0"/>
    <cacheHierarchy uniqueName="[Measures].[__XL_Count KPI_Data]" caption="__XL_Count KPI_Data" measure="1" displayFolder="" measureGroup="KPI_Data" count="0" hidden="1"/>
    <cacheHierarchy uniqueName="[Measures].[__No measures defined]" caption="__No measures defined" measure="1" displayFolder="" count="0" hidden="1"/>
    <cacheHierarchy uniqueName="[Measures].[_TotalSales Goal]" caption="_TotalSales Goal" measure="1" displayFolder="" measureGroup="KPI_Data" count="0" hidden="1"/>
    <cacheHierarchy uniqueName="[Measures].[_TotalSales Status]" caption="_TotalSales Status" measure="1" iconSet="7" displayFolder="" measureGroup="KPI_Data" count="0" hidden="1"/>
  </cacheHierarchies>
  <kpis count="1">
    <kpi uniqueName="TotalSales" caption="TotalSales" displayFolder="" measureGroup="KPI_Data" parent="" value="[Measures].[TotalSales]" goal="[Measures].[_TotalSales Goal]" status="[Measures].[_TotalSales Status]" trend="" weight=""/>
  </kpis>
  <dimensions count="2">
    <dimension name="KPI_Data" uniqueName="[KPI_Data]" caption="KPI_Data"/>
    <dimension measure="1" name="Measures" uniqueName="[Measures]" caption="Measures"/>
  </dimensions>
  <measureGroups count="1">
    <measureGroup name="KPI_Data" caption="KPI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Zampadiya" refreshedDate="46081.735518518515" createdVersion="3" refreshedVersion="8" minRefreshableVersion="3" recordCount="0" supportSubquery="1" supportAdvancedDrill="1" xr:uid="{447895D0-05F5-4C21-8216-C17C8E1056F3}">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KPI_Data].[SaleID]" caption="SaleID" attribute="1" defaultMemberUniqueName="[KPI_Data].[SaleID].[All]" allUniqueName="[KPI_Data].[SaleID].[All]" dimensionUniqueName="[KPI_Data]" displayFolder="" count="0" memberValueDatatype="20" unbalanced="0"/>
    <cacheHierarchy uniqueName="[KPI_Data].[Region]" caption="Region" attribute="1" defaultMemberUniqueName="[KPI_Data].[Region].[All]" allUniqueName="[KPI_Data].[Region].[All]" dimensionUniqueName="[KPI_Data]" displayFolder="" count="2" memberValueDatatype="130" unbalanced="0"/>
    <cacheHierarchy uniqueName="[KPI_Data].[Category]" caption="Category" attribute="1" defaultMemberUniqueName="[KPI_Data].[Category].[All]" allUniqueName="[KPI_Data].[Category].[All]" dimensionUniqueName="[KPI_Data]" displayFolder="" count="0" memberValueDatatype="130" unbalanced="0"/>
    <cacheHierarchy uniqueName="[KPI_Data].[Product]" caption="Product" attribute="1" defaultMemberUniqueName="[KPI_Data].[Product].[All]" allUniqueName="[KPI_Data].[Product].[All]" dimensionUniqueName="[KPI_Data]" displayFolder="" count="0" memberValueDatatype="130" unbalanced="0"/>
    <cacheHierarchy uniqueName="[KPI_Data].[Date]" caption="Date" attribute="1" time="1" defaultMemberUniqueName="[KPI_Data].[Date].[All]" allUniqueName="[KPI_Data].[Date].[All]" dimensionUniqueName="[KPI_Data]" displayFolder="" count="0" memberValueDatatype="7" unbalanced="0"/>
    <cacheHierarchy uniqueName="[KPI_Data].[Quantity]" caption="Quantity" attribute="1" defaultMemberUniqueName="[KPI_Data].[Quantity].[All]" allUniqueName="[KPI_Data].[Quantity].[All]" dimensionUniqueName="[KPI_Data]" displayFolder="" count="0" memberValueDatatype="20" unbalanced="0"/>
    <cacheHierarchy uniqueName="[KPI_Data].[UnitPrice]" caption="UnitPrice" attribute="1" defaultMemberUniqueName="[KPI_Data].[UnitPrice].[All]" allUniqueName="[KPI_Data].[UnitPrice].[All]" dimensionUniqueName="[KPI_Data]" displayFolder="" count="0" memberValueDatatype="20" unbalanced="0"/>
    <cacheHierarchy uniqueName="[KPI_Data].[Sales]" caption="Sales" attribute="1" defaultMemberUniqueName="[KPI_Data].[Sales].[All]" allUniqueName="[KPI_Data].[Sales].[All]" dimensionUniqueName="[KPI_Data]" displayFolder="" count="0" memberValueDatatype="20" unbalanced="0"/>
    <cacheHierarchy uniqueName="[KPI_Data].[Target]" caption="Target" attribute="1" defaultMemberUniqueName="[KPI_Data].[Target].[All]" allUniqueName="[KPI_Data].[Target].[All]" dimensionUniqueName="[KPI_Data]" displayFolder="" count="0" memberValueDatatype="20" unbalanced="0"/>
    <cacheHierarchy uniqueName="[KPI_Data].[Year]" caption="Year" attribute="1" defaultMemberUniqueName="[KPI_Data].[Year].[All]" allUniqueName="[KPI_Data].[Year].[All]" dimensionUniqueName="[KPI_Data]" displayFolder="" count="0" memberValueDatatype="20" unbalanced="0"/>
    <cacheHierarchy uniqueName="[KPI_Data].[DateH]" caption="DateH" defaultMemberUniqueName="[KPI_Data].[DateH].[All]" allUniqueName="[KPI_Data].[DateH].[All]" dimensionUniqueName="[KPI_Data]" displayFolder="" count="0" unbalanced="0"/>
    <cacheHierarchy uniqueName="[KPI_Data].[Quarter]" caption="Quarter" attribute="1" defaultMemberUniqueName="[KPI_Data].[Quarter].[All]" allUniqueName="[KPI_Data].[Quarter].[All]" dimensionUniqueName="[KPI_Data]" displayFolder="" count="0" memberValueDatatype="130" unbalanced="0"/>
    <cacheHierarchy uniqueName="[KPI_Data].[Month]" caption="Month" attribute="1" defaultMemberUniqueName="[KPI_Data].[Month].[All]" allUniqueName="[KPI_Data].[Month].[All]" dimensionUniqueName="[KPI_Data]" displayFolder="" count="0" memberValueDatatype="130" unbalanced="0"/>
    <cacheHierarchy uniqueName="[KPI_Data].[Target_Left]" caption="Target_Left" attribute="1" defaultMemberUniqueName="[KPI_Data].[Target_Left].[All]" allUniqueName="[KPI_Data].[Target_Left].[All]" dimensionUniqueName="[KPI_Data]" displayFolder="" count="0" memberValueDatatype="20" unbalanced="0"/>
    <cacheHierarchy uniqueName="[KPI_Data].[Column14]" caption="Column14" attribute="1" defaultMemberUniqueName="[KPI_Data].[Column14].[All]" allUniqueName="[KPI_Data].[Column14].[All]" dimensionUniqueName="[KPI_Data]" displayFolder="" count="0" memberValueDatatype="11" unbalanced="0"/>
    <cacheHierarchy uniqueName="[KPI_Data].[Checkbox]" caption="Checkbox" attribute="1" defaultMemberUniqueName="[KPI_Data].[Checkbox].[All]" allUniqueName="[KPI_Data].[Checkbox].[All]" dimensionUniqueName="[KPI_Data]" displayFolder="" count="0" memberValueDatatype="130" unbalanced="0"/>
    <cacheHierarchy uniqueName="[KPI_Data].[Dropdown]" caption="Dropdown" attribute="1" defaultMemberUniqueName="[KPI_Data].[Dropdown].[All]" allUniqueName="[KPI_Data].[Dropdown].[All]" dimensionUniqueName="[KPI_Data]" displayFolder="" count="0" memberValueDatatype="20" unbalanced="0"/>
    <cacheHierarchy uniqueName="[KPI_Data].[Column17]" caption="Column17" attribute="1" defaultMemberUniqueName="[KPI_Data].[Column17].[All]" allUniqueName="[KPI_Data].[Column17].[All]" dimensionUniqueName="[KPI_Data]" displayFolder="" count="0" memberValueDatatype="20" unbalanced="0"/>
    <cacheHierarchy uniqueName="[KPI_Data].[Column18]" caption="Column18" attribute="1" defaultMemberUniqueName="[KPI_Data].[Column18].[All]" allUniqueName="[KPI_Data].[Column18].[All]" dimensionUniqueName="[KPI_Data]" displayFolder="" count="0" memberValueDatatype="130" unbalanced="0"/>
    <cacheHierarchy uniqueName="[KPI_Data].[Date (Year)]" caption="Date (Year)" attribute="1" defaultMemberUniqueName="[KPI_Data].[Date (Year)].[All]" allUniqueName="[KPI_Data].[Date (Year)].[All]" dimensionUniqueName="[KPI_Data]" displayFolder="" count="0" memberValueDatatype="130" unbalanced="0"/>
    <cacheHierarchy uniqueName="[KPI_Data].[Date (Quarter)]" caption="Date (Quarter)" attribute="1" defaultMemberUniqueName="[KPI_Data].[Date (Quarter)].[All]" allUniqueName="[KPI_Data].[Date (Quarter)].[All]" dimensionUniqueName="[KPI_Data]" displayFolder="" count="0" memberValueDatatype="130" unbalanced="0"/>
    <cacheHierarchy uniqueName="[KPI_Data].[Date (Month)]" caption="Date (Month)" attribute="1" defaultMemberUniqueName="[KPI_Data].[Date (Month)].[All]" allUniqueName="[KPI_Data].[Date (Month)].[All]" dimensionUniqueName="[KPI_Data]" displayFolder="" count="0" memberValueDatatype="130" unbalanced="0"/>
    <cacheHierarchy uniqueName="[KPI_Data].[Achivement]" caption="Achivement" attribute="1" defaultMemberUniqueName="[KPI_Data].[Achivement].[All]" allUniqueName="[KPI_Data].[Achivement].[All]" dimensionUniqueName="[KPI_Data]" displayFolder="" count="0" memberValueDatatype="5" unbalanced="0"/>
    <cacheHierarchy uniqueName="[KPI_Data].[Date (Month Index)]" caption="Date (Month Index)" attribute="1" defaultMemberUniqueName="[KPI_Data].[Date (Month Index)].[All]" allUniqueName="[KPI_Data].[Date (Month Index)].[All]" dimensionUniqueName="[KPI_Data]" displayFolder="" count="0" memberValueDatatype="20" unbalanced="0" hidden="1"/>
    <cacheHierarchy uniqueName="[Measures].[Sum of Sales]" caption="Sum of Sales" measure="1" displayFolder="" measureGroup="KPI_Data" count="0">
      <extLst>
        <ext xmlns:x15="http://schemas.microsoft.com/office/spreadsheetml/2010/11/main" uri="{B97F6D7D-B522-45F9-BDA1-12C45D357490}">
          <x15:cacheHierarchy aggregatedColumn="7"/>
        </ext>
      </extLst>
    </cacheHierarchy>
    <cacheHierarchy uniqueName="[Measures].[Sum of Achivement]" caption="Sum of Achivement" measure="1" displayFolder="" measureGroup="KPI_Data" count="0">
      <extLst>
        <ext xmlns:x15="http://schemas.microsoft.com/office/spreadsheetml/2010/11/main" uri="{B97F6D7D-B522-45F9-BDA1-12C45D357490}">
          <x15:cacheHierarchy aggregatedColumn="22"/>
        </ext>
      </extLst>
    </cacheHierarchy>
    <cacheHierarchy uniqueName="[Measures].[TotalRevenue]" caption="TotalRevenue" measure="1" displayFolder="" measureGroup="KPI_Data" count="0"/>
    <cacheHierarchy uniqueName="[Measures].[TotalCost]" caption="TotalCost" measure="1" displayFolder="" measureGroup="KPI_Data" count="0"/>
    <cacheHierarchy uniqueName="[Measures].[TotalProfit]" caption="TotalProfit" measure="1" displayFolder="" measureGroup="KPI_Data" count="0"/>
    <cacheHierarchy uniqueName="[Measures].[TotalSales]" caption="TotalSales" measure="1" displayFolder="" measureGroup="KPI_Data" count="0"/>
    <cacheHierarchy uniqueName="[Measures].[__XL_Count KPI_Data]" caption="__XL_Count KPI_Data" measure="1" displayFolder="" measureGroup="KPI_Data" count="0" hidden="1"/>
    <cacheHierarchy uniqueName="[Measures].[__No measures defined]" caption="__No measures defined" measure="1" displayFolder="" count="0" hidden="1"/>
    <cacheHierarchy uniqueName="[Measures].[_TotalSales Goal]" caption="_TotalSales Goal" measure="1" displayFolder="" measureGroup="KPI_Data" count="0" hidden="1"/>
    <cacheHierarchy uniqueName="[Measures].[_TotalSales Status]" caption="_TotalSales Status" measure="1" iconSet="7" displayFolder="" measureGroup="KPI_Data" count="0" hidden="1"/>
  </cacheHierarchies>
  <kpis count="1">
    <kpi uniqueName="TotalSales" caption="TotalSales" displayFolder="" measureGroup="KPI_Data" parent="" value="[Measures].[TotalSales]" goal="[Measures].[_TotalSales Goal]" status="[Measures].[_TotalSales Status]" trend="" weight=""/>
  </kpis>
  <extLst>
    <ext xmlns:x14="http://schemas.microsoft.com/office/spreadsheetml/2009/9/main" uri="{725AE2AE-9491-48be-B2B4-4EB974FC3084}">
      <x14:pivotCacheDefinition slicerData="1" pivotCacheId="894282772"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Zampadiya" refreshedDate="46081.735525115742" createdVersion="3" refreshedVersion="8" minRefreshableVersion="3" recordCount="0" supportSubquery="1" supportAdvancedDrill="1" xr:uid="{8EDF4956-05A1-401C-BE92-B2697C618BB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KPI_Data].[SaleID]" caption="SaleID" attribute="1" defaultMemberUniqueName="[KPI_Data].[SaleID].[All]" allUniqueName="[KPI_Data].[SaleID].[All]" dimensionUniqueName="[KPI_Data]" displayFolder="" count="0" memberValueDatatype="20" unbalanced="0"/>
    <cacheHierarchy uniqueName="[KPI_Data].[Region]" caption="Region" attribute="1" defaultMemberUniqueName="[KPI_Data].[Region].[All]" allUniqueName="[KPI_Data].[Region].[All]" dimensionUniqueName="[KPI_Data]" displayFolder="" count="0" memberValueDatatype="130" unbalanced="0"/>
    <cacheHierarchy uniqueName="[KPI_Data].[Category]" caption="Category" attribute="1" defaultMemberUniqueName="[KPI_Data].[Category].[All]" allUniqueName="[KPI_Data].[Category].[All]" dimensionUniqueName="[KPI_Data]" displayFolder="" count="0" memberValueDatatype="130" unbalanced="0"/>
    <cacheHierarchy uniqueName="[KPI_Data].[Product]" caption="Product" attribute="1" defaultMemberUniqueName="[KPI_Data].[Product].[All]" allUniqueName="[KPI_Data].[Product].[All]" dimensionUniqueName="[KPI_Data]" displayFolder="" count="0" memberValueDatatype="130" unbalanced="0"/>
    <cacheHierarchy uniqueName="[KPI_Data].[Date]" caption="Date" attribute="1" time="1" defaultMemberUniqueName="[KPI_Data].[Date].[All]" allUniqueName="[KPI_Data].[Date].[All]" dimensionUniqueName="[KPI_Data]" displayFolder="" count="2" memberValueDatatype="7" unbalanced="0"/>
    <cacheHierarchy uniqueName="[KPI_Data].[Quantity]" caption="Quantity" attribute="1" defaultMemberUniqueName="[KPI_Data].[Quantity].[All]" allUniqueName="[KPI_Data].[Quantity].[All]" dimensionUniqueName="[KPI_Data]" displayFolder="" count="0" memberValueDatatype="20" unbalanced="0"/>
    <cacheHierarchy uniqueName="[KPI_Data].[UnitPrice]" caption="UnitPrice" attribute="1" defaultMemberUniqueName="[KPI_Data].[UnitPrice].[All]" allUniqueName="[KPI_Data].[UnitPrice].[All]" dimensionUniqueName="[KPI_Data]" displayFolder="" count="0" memberValueDatatype="20" unbalanced="0"/>
    <cacheHierarchy uniqueName="[KPI_Data].[Sales]" caption="Sales" attribute="1" defaultMemberUniqueName="[KPI_Data].[Sales].[All]" allUniqueName="[KPI_Data].[Sales].[All]" dimensionUniqueName="[KPI_Data]" displayFolder="" count="0" memberValueDatatype="20" unbalanced="0"/>
    <cacheHierarchy uniqueName="[KPI_Data].[Target]" caption="Target" attribute="1" defaultMemberUniqueName="[KPI_Data].[Target].[All]" allUniqueName="[KPI_Data].[Target].[All]" dimensionUniqueName="[KPI_Data]" displayFolder="" count="0" memberValueDatatype="20" unbalanced="0"/>
    <cacheHierarchy uniqueName="[KPI_Data].[Year]" caption="Year" attribute="1" defaultMemberUniqueName="[KPI_Data].[Year].[All]" allUniqueName="[KPI_Data].[Year].[All]" dimensionUniqueName="[KPI_Data]" displayFolder="" count="0" memberValueDatatype="20" unbalanced="0"/>
    <cacheHierarchy uniqueName="[KPI_Data].[DateH]" caption="DateH" defaultMemberUniqueName="[KPI_Data].[DateH].[All]" allUniqueName="[KPI_Data].[DateH].[All]" dimensionUniqueName="[KPI_Data]" displayFolder="" count="0" unbalanced="0"/>
    <cacheHierarchy uniqueName="[KPI_Data].[Quarter]" caption="Quarter" attribute="1" defaultMemberUniqueName="[KPI_Data].[Quarter].[All]" allUniqueName="[KPI_Data].[Quarter].[All]" dimensionUniqueName="[KPI_Data]" displayFolder="" count="0" memberValueDatatype="130" unbalanced="0"/>
    <cacheHierarchy uniqueName="[KPI_Data].[Month]" caption="Month" attribute="1" defaultMemberUniqueName="[KPI_Data].[Month].[All]" allUniqueName="[KPI_Data].[Month].[All]" dimensionUniqueName="[KPI_Data]" displayFolder="" count="0" memberValueDatatype="130" unbalanced="0"/>
    <cacheHierarchy uniqueName="[KPI_Data].[Target_Left]" caption="Target_Left" attribute="1" defaultMemberUniqueName="[KPI_Data].[Target_Left].[All]" allUniqueName="[KPI_Data].[Target_Left].[All]" dimensionUniqueName="[KPI_Data]" displayFolder="" count="0" memberValueDatatype="20" unbalanced="0"/>
    <cacheHierarchy uniqueName="[KPI_Data].[Column14]" caption="Column14" attribute="1" defaultMemberUniqueName="[KPI_Data].[Column14].[All]" allUniqueName="[KPI_Data].[Column14].[All]" dimensionUniqueName="[KPI_Data]" displayFolder="" count="0" memberValueDatatype="11" unbalanced="0"/>
    <cacheHierarchy uniqueName="[KPI_Data].[Checkbox]" caption="Checkbox" attribute="1" defaultMemberUniqueName="[KPI_Data].[Checkbox].[All]" allUniqueName="[KPI_Data].[Checkbox].[All]" dimensionUniqueName="[KPI_Data]" displayFolder="" count="0" memberValueDatatype="130" unbalanced="0"/>
    <cacheHierarchy uniqueName="[KPI_Data].[Dropdown]" caption="Dropdown" attribute="1" defaultMemberUniqueName="[KPI_Data].[Dropdown].[All]" allUniqueName="[KPI_Data].[Dropdown].[All]" dimensionUniqueName="[KPI_Data]" displayFolder="" count="0" memberValueDatatype="20" unbalanced="0"/>
    <cacheHierarchy uniqueName="[KPI_Data].[Column17]" caption="Column17" attribute="1" defaultMemberUniqueName="[KPI_Data].[Column17].[All]" allUniqueName="[KPI_Data].[Column17].[All]" dimensionUniqueName="[KPI_Data]" displayFolder="" count="0" memberValueDatatype="20" unbalanced="0"/>
    <cacheHierarchy uniqueName="[KPI_Data].[Column18]" caption="Column18" attribute="1" defaultMemberUniqueName="[KPI_Data].[Column18].[All]" allUniqueName="[KPI_Data].[Column18].[All]" dimensionUniqueName="[KPI_Data]" displayFolder="" count="0" memberValueDatatype="130" unbalanced="0"/>
    <cacheHierarchy uniqueName="[KPI_Data].[Date (Year)]" caption="Date (Year)" attribute="1" defaultMemberUniqueName="[KPI_Data].[Date (Year)].[All]" allUniqueName="[KPI_Data].[Date (Year)].[All]" dimensionUniqueName="[KPI_Data]" displayFolder="" count="0" memberValueDatatype="130" unbalanced="0"/>
    <cacheHierarchy uniqueName="[KPI_Data].[Date (Quarter)]" caption="Date (Quarter)" attribute="1" defaultMemberUniqueName="[KPI_Data].[Date (Quarter)].[All]" allUniqueName="[KPI_Data].[Date (Quarter)].[All]" dimensionUniqueName="[KPI_Data]" displayFolder="" count="0" memberValueDatatype="130" unbalanced="0"/>
    <cacheHierarchy uniqueName="[KPI_Data].[Date (Month)]" caption="Date (Month)" attribute="1" defaultMemberUniqueName="[KPI_Data].[Date (Month)].[All]" allUniqueName="[KPI_Data].[Date (Month)].[All]" dimensionUniqueName="[KPI_Data]" displayFolder="" count="0" memberValueDatatype="130" unbalanced="0"/>
    <cacheHierarchy uniqueName="[KPI_Data].[Achivement]" caption="Achivement" attribute="1" defaultMemberUniqueName="[KPI_Data].[Achivement].[All]" allUniqueName="[KPI_Data].[Achivement].[All]" dimensionUniqueName="[KPI_Data]" displayFolder="" count="0" memberValueDatatype="5" unbalanced="0"/>
    <cacheHierarchy uniqueName="[KPI_Data].[Date (Month Index)]" caption="Date (Month Index)" attribute="1" defaultMemberUniqueName="[KPI_Data].[Date (Month Index)].[All]" allUniqueName="[KPI_Data].[Date (Month Index)].[All]" dimensionUniqueName="[KPI_Data]" displayFolder="" count="0" memberValueDatatype="20" unbalanced="0" hidden="1"/>
    <cacheHierarchy uniqueName="[Measures].[Sum of Sales]" caption="Sum of Sales" measure="1" displayFolder="" measureGroup="KPI_Data" count="0">
      <extLst>
        <ext xmlns:x15="http://schemas.microsoft.com/office/spreadsheetml/2010/11/main" uri="{B97F6D7D-B522-45F9-BDA1-12C45D357490}">
          <x15:cacheHierarchy aggregatedColumn="7"/>
        </ext>
      </extLst>
    </cacheHierarchy>
    <cacheHierarchy uniqueName="[Measures].[Sum of Achivement]" caption="Sum of Achivement" measure="1" displayFolder="" measureGroup="KPI_Data" count="0">
      <extLst>
        <ext xmlns:x15="http://schemas.microsoft.com/office/spreadsheetml/2010/11/main" uri="{B97F6D7D-B522-45F9-BDA1-12C45D357490}">
          <x15:cacheHierarchy aggregatedColumn="22"/>
        </ext>
      </extLst>
    </cacheHierarchy>
    <cacheHierarchy uniqueName="[Measures].[TotalRevenue]" caption="TotalRevenue" measure="1" displayFolder="" measureGroup="KPI_Data" count="0"/>
    <cacheHierarchy uniqueName="[Measures].[TotalCost]" caption="TotalCost" measure="1" displayFolder="" measureGroup="KPI_Data" count="0"/>
    <cacheHierarchy uniqueName="[Measures].[TotalProfit]" caption="TotalProfit" measure="1" displayFolder="" measureGroup="KPI_Data" count="0"/>
    <cacheHierarchy uniqueName="[Measures].[TotalSales]" caption="TotalSales" measure="1" displayFolder="" measureGroup="KPI_Data" count="0"/>
    <cacheHierarchy uniqueName="[Measures].[__XL_Count KPI_Data]" caption="__XL_Count KPI_Data" measure="1" displayFolder="" measureGroup="KPI_Data" count="0" hidden="1"/>
    <cacheHierarchy uniqueName="[Measures].[__No measures defined]" caption="__No measures defined" measure="1" displayFolder="" count="0" hidden="1"/>
    <cacheHierarchy uniqueName="[Measures].[_TotalSales Goal]" caption="_TotalSales Goal" measure="1" displayFolder="" measureGroup="KPI_Data" count="0" hidden="1"/>
    <cacheHierarchy uniqueName="[Measures].[_TotalSales Status]" caption="_TotalSales Status" measure="1" iconSet="7" displayFolder="" measureGroup="KPI_Data" count="0" hidden="1"/>
  </cacheHierarchies>
  <kpis count="1">
    <kpi uniqueName="TotalSales" caption="TotalSales" displayFolder="" measureGroup="KPI_Data" parent="" value="[Measures].[TotalSales]" goal="[Measures].[_TotalSales Goal]" status="[Measures].[_TotalSales Status]" trend="" weight=""/>
  </kpis>
  <extLst>
    <ext xmlns:x14="http://schemas.microsoft.com/office/spreadsheetml/2009/9/main" uri="{725AE2AE-9491-48be-B2B4-4EB974FC3084}">
      <x14:pivotCacheDefinition pivotCacheId="9049283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207F9B-EC92-492B-AAD5-3669A51BADF8}" name="PivotTable12" cacheId="2" applyNumberFormats="0" applyBorderFormats="0" applyFontFormats="0" applyPatternFormats="0" applyAlignmentFormats="0" applyWidthHeightFormats="1" dataCaption="Values" tag="e4a12360-b840-4826-b8a3-f2b5b4e3c1b8" updatedVersion="8" minRefreshableVersion="5" useAutoFormatting="1" subtotalHiddenItems="1" itemPrintTitles="1" createdVersion="5" indent="0" outline="1" outlineData="1" multipleFieldFilters="0" chartFormat="15" rowHeaderCaption="Category">
  <location ref="B3:C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chartFormats count="12">
    <chartFormat chart="0"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0" count="1" selected="0">
            <x v="0"/>
          </reference>
        </references>
      </pivotArea>
    </chartFormat>
    <chartFormat chart="11" format="9">
      <pivotArea type="data" outline="0" fieldPosition="0">
        <references count="2">
          <reference field="4294967294" count="1" selected="0">
            <x v="0"/>
          </reference>
          <reference field="0" count="1" selected="0">
            <x v="1"/>
          </reference>
        </references>
      </pivotArea>
    </chartFormat>
    <chartFormat chart="11" format="10">
      <pivotArea type="data" outline="0" fieldPosition="0">
        <references count="2">
          <reference field="4294967294" count="1" selected="0">
            <x v="0"/>
          </reference>
          <reference field="0" count="1" selected="0">
            <x v="2"/>
          </reference>
        </references>
      </pivotArea>
    </chartFormat>
    <chartFormat chart="11" format="11">
      <pivotArea type="data" outline="0" fieldPosition="0">
        <references count="2">
          <reference field="4294967294" count="1" selected="0">
            <x v="0"/>
          </reference>
          <reference field="0" count="1" selected="0">
            <x v="3"/>
          </reference>
        </references>
      </pivotArea>
    </chartFormat>
    <chartFormat chart="11"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271512-34ED-432D-ACED-5727F03E7F08}" name="PivotTable11" cacheId="1" applyNumberFormats="0" applyBorderFormats="0" applyFontFormats="0" applyPatternFormats="0" applyAlignmentFormats="0" applyWidthHeightFormats="1" dataCaption="Values" tag="b57a6120-ed39-449b-8013-b0948cd8a7cb" updatedVersion="8" minRefreshableVersion="5" useAutoFormatting="1" subtotalHiddenItems="1" itemPrintTitles="1" createdVersion="5" indent="0" outline="1" outlineData="1" multipleFieldFilters="0" chartFormat="5" rowHeaderCaption="Date_Time">
  <location ref="B3:C16" firstHeaderRow="1" firstDataRow="1" firstDataCol="1"/>
  <pivotFields count="5">
    <pivotField axis="axisRow" hiddenLevel="1" allDrilled="1" subtotalTop="0" showAll="0" dataSourceSort="1" defaultSubtotal="0">
      <items count="1">
        <item c="1" x="0"/>
      </items>
    </pivotField>
    <pivotField axis="axisRow" hiddenLevel="1" allDrilled="1" subtotalTop="0" showAll="0" dataSourceSort="1" defaultSubtotal="0">
      <items count="4">
        <item c="1" x="0"/>
        <item c="1" x="1"/>
        <item c="1" x="2"/>
        <item c="1" x="3"/>
      </items>
    </pivotField>
    <pivotField axis="axisRow" allDrilled="1" subtotalTop="0" showAll="0" dataSourceSort="1" defaultSubtotal="0">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A41D92-1294-4A1B-9E9D-6C66E4A85556}" name="PivotTable10" cacheId="0" applyNumberFormats="0" applyBorderFormats="0" applyFontFormats="0" applyPatternFormats="0" applyAlignmentFormats="0" applyWidthHeightFormats="1" dataCaption="Values" tag="b4f30026-bdd3-4d4f-98a7-fa7204d66d5c" updatedVersion="8" minRefreshableVersion="3" useAutoFormatting="1" itemPrintTitles="1" createdVersion="5" indent="0" outline="1" outlineData="1" multipleFieldFilters="0" chartFormat="9" rowHeaderCaption="Region">
  <location ref="B3:C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CA4A72-065B-41EB-813E-72B1A6E3517F}" name="PivotTable8" cacheId="3" applyNumberFormats="0" applyBorderFormats="0" applyFontFormats="0" applyPatternFormats="0" applyAlignmentFormats="0" applyWidthHeightFormats="1" dataCaption="Values" tag="9e000b5b-8b1f-44eb-b6db-d7226d410951" updatedVersion="8" minRefreshableVersion="5" useAutoFormatting="1" subtotalHiddenItems="1" itemPrintTitles="1" createdVersion="5" indent="0" outline="1" outlineData="1" multipleFieldFilters="0" chartFormat="12" rowHeaderCaption="Category">
  <location ref="B4:C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E355049-0ADD-4246-BE78-D2FBC379DBF5}" autoFormatId="16" applyNumberFormats="0" applyBorderFormats="0" applyFontFormats="0" applyPatternFormats="0" applyAlignmentFormats="0" applyWidthHeightFormats="0">
  <queryTableRefresh nextId="19">
    <queryTableFields count="18">
      <queryTableField id="1" name="SaleID" tableColumnId="1"/>
      <queryTableField id="2" name="Region" tableColumnId="2"/>
      <queryTableField id="3" name="Category" tableColumnId="3"/>
      <queryTableField id="4" name="Product" tableColumnId="4"/>
      <queryTableField id="5" name="Date" tableColumnId="5"/>
      <queryTableField id="6" name="Quantity" tableColumnId="6"/>
      <queryTableField id="7" name="UnitPrice" tableColumnId="7"/>
      <queryTableField id="8" name="Sales" tableColumnId="8"/>
      <queryTableField id="9" name="Target" tableColumnId="9"/>
      <queryTableField id="10" name="Year" tableColumnId="10"/>
      <queryTableField id="11" name="Quarter" tableColumnId="11"/>
      <queryTableField id="12" name="Month" tableColumnId="12"/>
      <queryTableField id="13" name="Target_Left" tableColumnId="13"/>
      <queryTableField id="14" name="Column14" tableColumnId="14"/>
      <queryTableField id="15" name="Checkbox" tableColumnId="15"/>
      <queryTableField id="16" name="Dropdown" tableColumnId="16"/>
      <queryTableField id="17" name="Column17" tableColumnId="17"/>
      <queryTableField id="18" name="Column18"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E12B69-7419-4DB9-BBAF-9683A85708D7}" sourceName="[KPI_Data].[Region]">
  <pivotTables>
    <pivotTable tabId="13" name="PivotTable10"/>
    <pivotTable tabId="11" name="PivotTable8"/>
    <pivotTable tabId="14" name="PivotTable11"/>
    <pivotTable tabId="15" name="PivotTable12"/>
  </pivotTables>
  <data>
    <olap pivotCacheId="894282772">
      <levels count="2">
        <level uniqueName="[KPI_Data].[Region].[(All)]" sourceCaption="(All)" count="0"/>
        <level uniqueName="[KPI_Data].[Region].[Region]" sourceCaption="Region" count="4">
          <ranges>
            <range startItem="0">
              <i n="[KPI_Data].[Region].&amp;[East]" c="East"/>
              <i n="[KPI_Data].[Region].&amp;[North]" c="North"/>
              <i n="[KPI_Data].[Region].&amp;[South]" c="South"/>
              <i n="[KPI_Data].[Region].&amp;[West]" c="West"/>
            </range>
          </ranges>
        </level>
      </levels>
      <selections count="1">
        <selection n="[KPI_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00A6A27-D677-4CF2-A6AF-DFDBB7587626}" cache="Slicer_Region" caption="Reg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BE1B6D-E4BB-4FC2-BE54-CCF5A36CAB41}" name="KPI_Data" displayName="KPI_Data" ref="A1:R200" tableType="queryTable" totalsRowShown="0">
  <autoFilter ref="A1:R200" xr:uid="{21BE1B6D-E4BB-4FC2-BE54-CCF5A36CAB41}"/>
  <sortState xmlns:xlrd2="http://schemas.microsoft.com/office/spreadsheetml/2017/richdata2" ref="A2:R200">
    <sortCondition ref="L2:L200" customList="January,February,March,April,May,June,July,August,September,October,November,December"/>
  </sortState>
  <tableColumns count="18">
    <tableColumn id="1" xr3:uid="{E6D00D35-BB57-4027-B783-DEF52D0DB1F6}" uniqueName="1" name="SaleID" queryTableFieldId="1"/>
    <tableColumn id="2" xr3:uid="{C634FE02-74F1-422D-88BE-FE79256C6AC8}" uniqueName="2" name="Region" queryTableFieldId="2" dataDxfId="9"/>
    <tableColumn id="3" xr3:uid="{28F4B5D6-8166-41ED-AFB2-A6E965C22A9A}" uniqueName="3" name="Category" queryTableFieldId="3" dataDxfId="8"/>
    <tableColumn id="4" xr3:uid="{959A8572-0D23-4A5A-8CCF-7345C48F8AF0}" uniqueName="4" name="Product" queryTableFieldId="4" dataDxfId="7"/>
    <tableColumn id="5" xr3:uid="{72990484-A7F7-4023-BC7F-33654283C4D7}" uniqueName="5" name="Date" queryTableFieldId="5" dataDxfId="6"/>
    <tableColumn id="6" xr3:uid="{2205F2BE-9A8E-41EA-91D5-8A3E5DF51EE4}" uniqueName="6" name="Quantity" queryTableFieldId="6"/>
    <tableColumn id="7" xr3:uid="{BAD26ABF-177F-434B-BD99-71AD6073B17B}" uniqueName="7" name="UnitPrice" queryTableFieldId="7"/>
    <tableColumn id="8" xr3:uid="{8A9ED1E7-D1C9-495A-A127-662F39E644BB}" uniqueName="8" name="Sales" queryTableFieldId="8" dataDxfId="5"/>
    <tableColumn id="9" xr3:uid="{B50F899D-B3B2-4527-9FD4-56D93B4CABD6}" uniqueName="9" name="Target" queryTableFieldId="9"/>
    <tableColumn id="10" xr3:uid="{BEDB38E8-6F4D-474F-B2EF-ED378B8804C3}" uniqueName="10" name="Year" queryTableFieldId="10"/>
    <tableColumn id="11" xr3:uid="{DD7CCB80-C536-4BFE-BFC5-06CBCE6327BD}" uniqueName="11" name="Quarter" queryTableFieldId="11" dataDxfId="4"/>
    <tableColumn id="12" xr3:uid="{70DB4AC3-C693-41DD-AA01-D4A5B25CD88F}" uniqueName="12" name="Month" queryTableFieldId="12" dataDxfId="3"/>
    <tableColumn id="13" xr3:uid="{30C21844-C109-4A8B-B055-CC7226F59EBC}" uniqueName="13" name="Target_Left" queryTableFieldId="13"/>
    <tableColumn id="14" xr3:uid="{3829CF83-43E0-4071-AEF0-0138379DB8CF}" uniqueName="14" name="Column14" queryTableFieldId="14"/>
    <tableColumn id="15" xr3:uid="{DD0D1312-76B5-472A-A0C2-A0510DA19D4D}" uniqueName="15" name="Checkbox" queryTableFieldId="15"/>
    <tableColumn id="16" xr3:uid="{C8989B49-46CD-422B-99D1-67DF9C17E1D9}" uniqueName="16" name="Dropdown" queryTableFieldId="16"/>
    <tableColumn id="17" xr3:uid="{6421CC6F-9815-4C07-BFEC-3D7A1AEB09FF}" uniqueName="17" name="Column17" queryTableFieldId="17"/>
    <tableColumn id="18" xr3:uid="{A212D2EB-497C-457A-9582-FA3CD33D1F34}" uniqueName="18" name="Column18" queryTableFieldId="18"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67FBDF94-3FC0-44F0-9C95-215E6E56969F}" sourceName="[KPI_Data].[Date]">
  <pivotTables>
    <pivotTable tabId="11" name="PivotTable8"/>
    <pivotTable tabId="14" name="PivotTable11"/>
    <pivotTable tabId="15" name="PivotTable12"/>
  </pivotTables>
  <state minimalRefreshVersion="6" lastRefreshVersion="6" pivotCacheId="90492831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13DB1B2-9B26-4A01-9B80-AB9A7457376D}" cache="Timeline_Date" caption="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BEA9A-E990-4B87-A32B-37222421B2DF}">
  <dimension ref="A1:R200"/>
  <sheetViews>
    <sheetView workbookViewId="0">
      <selection activeCell="M14" sqref="M14"/>
    </sheetView>
  </sheetViews>
  <sheetFormatPr defaultRowHeight="14.4" x14ac:dyDescent="0.3"/>
  <cols>
    <col min="1" max="1" width="8.44140625" bestFit="1" customWidth="1"/>
    <col min="2" max="2" width="9" bestFit="1" customWidth="1"/>
    <col min="3" max="3" width="10.77734375" bestFit="1" customWidth="1"/>
    <col min="4" max="4" width="11.109375" bestFit="1" customWidth="1"/>
    <col min="5" max="5" width="14.44140625" bestFit="1" customWidth="1"/>
    <col min="6" max="6" width="10.5546875" bestFit="1" customWidth="1"/>
    <col min="7" max="7" width="10.88671875" bestFit="1" customWidth="1"/>
    <col min="8" max="8" width="10.109375" style="4" bestFit="1" customWidth="1"/>
    <col min="9" max="9" width="8.5546875" bestFit="1" customWidth="1"/>
    <col min="10" max="10" width="6.88671875" bestFit="1" customWidth="1"/>
    <col min="11" max="11" width="9.6640625" bestFit="1" customWidth="1"/>
    <col min="12" max="12" width="9.77734375" bestFit="1" customWidth="1"/>
    <col min="13" max="13" width="12.77734375" bestFit="1" customWidth="1"/>
    <col min="14" max="14" width="11.77734375" bestFit="1" customWidth="1"/>
    <col min="15" max="15" width="11.44140625" bestFit="1" customWidth="1"/>
    <col min="16" max="16" width="12.109375" bestFit="1" customWidth="1"/>
    <col min="17" max="18" width="11.77734375" bestFit="1" customWidth="1"/>
  </cols>
  <sheetData>
    <row r="1" spans="1:18" x14ac:dyDescent="0.3">
      <c r="A1" t="s">
        <v>0</v>
      </c>
      <c r="B1" t="s">
        <v>1</v>
      </c>
      <c r="C1" t="s">
        <v>2</v>
      </c>
      <c r="D1" t="s">
        <v>3</v>
      </c>
      <c r="E1" t="s">
        <v>4</v>
      </c>
      <c r="F1" t="s">
        <v>5</v>
      </c>
      <c r="G1" t="s">
        <v>6</v>
      </c>
      <c r="H1" s="4" t="s">
        <v>7</v>
      </c>
      <c r="I1" t="s">
        <v>8</v>
      </c>
      <c r="J1" t="s">
        <v>9</v>
      </c>
      <c r="K1" t="s">
        <v>10</v>
      </c>
      <c r="L1" t="s">
        <v>11</v>
      </c>
      <c r="M1" t="s">
        <v>12</v>
      </c>
      <c r="N1" t="s">
        <v>13</v>
      </c>
      <c r="O1" t="s">
        <v>14</v>
      </c>
      <c r="P1" t="s">
        <v>15</v>
      </c>
      <c r="Q1" t="s">
        <v>16</v>
      </c>
      <c r="R1" t="s">
        <v>17</v>
      </c>
    </row>
    <row r="2" spans="1:18" x14ac:dyDescent="0.3">
      <c r="A2">
        <v>2</v>
      </c>
      <c r="B2" t="s">
        <v>23</v>
      </c>
      <c r="C2" t="s">
        <v>24</v>
      </c>
      <c r="D2" t="s">
        <v>25</v>
      </c>
      <c r="E2" s="1">
        <v>44943</v>
      </c>
      <c r="F2">
        <v>1</v>
      </c>
      <c r="G2">
        <v>195</v>
      </c>
      <c r="H2" s="4">
        <v>195</v>
      </c>
      <c r="I2">
        <v>1500</v>
      </c>
      <c r="J2">
        <v>2023</v>
      </c>
      <c r="K2" t="s">
        <v>26</v>
      </c>
      <c r="L2" t="s">
        <v>27</v>
      </c>
      <c r="P2">
        <v>242</v>
      </c>
      <c r="R2" t="s">
        <v>5</v>
      </c>
    </row>
    <row r="3" spans="1:18" x14ac:dyDescent="0.3">
      <c r="A3">
        <v>4</v>
      </c>
      <c r="B3" t="s">
        <v>18</v>
      </c>
      <c r="C3" t="s">
        <v>29</v>
      </c>
      <c r="D3" t="s">
        <v>33</v>
      </c>
      <c r="E3" s="1">
        <v>44930</v>
      </c>
      <c r="F3">
        <v>3</v>
      </c>
      <c r="G3">
        <v>814</v>
      </c>
      <c r="H3" s="4">
        <v>2442</v>
      </c>
      <c r="I3">
        <v>2500</v>
      </c>
      <c r="J3">
        <v>2023</v>
      </c>
      <c r="K3" t="s">
        <v>26</v>
      </c>
      <c r="L3" t="s">
        <v>27</v>
      </c>
    </row>
    <row r="4" spans="1:18" x14ac:dyDescent="0.3">
      <c r="A4">
        <v>30</v>
      </c>
      <c r="B4" t="s">
        <v>28</v>
      </c>
      <c r="C4" t="s">
        <v>19</v>
      </c>
      <c r="D4" t="s">
        <v>20</v>
      </c>
      <c r="E4" s="1">
        <v>44943</v>
      </c>
      <c r="F4">
        <v>6</v>
      </c>
      <c r="G4">
        <v>172</v>
      </c>
      <c r="H4" s="4">
        <v>1032</v>
      </c>
      <c r="I4">
        <v>1500</v>
      </c>
      <c r="J4">
        <v>2023</v>
      </c>
      <c r="K4" t="s">
        <v>26</v>
      </c>
      <c r="L4" t="s">
        <v>27</v>
      </c>
    </row>
    <row r="5" spans="1:18" x14ac:dyDescent="0.3">
      <c r="A5">
        <v>52</v>
      </c>
      <c r="B5" t="s">
        <v>18</v>
      </c>
      <c r="C5" t="s">
        <v>24</v>
      </c>
      <c r="D5" t="s">
        <v>44</v>
      </c>
      <c r="E5" s="1">
        <v>44953</v>
      </c>
      <c r="F5">
        <v>2</v>
      </c>
      <c r="G5">
        <v>749</v>
      </c>
      <c r="H5" s="4">
        <v>1498</v>
      </c>
      <c r="I5">
        <v>2500</v>
      </c>
      <c r="J5">
        <v>2023</v>
      </c>
      <c r="K5" t="s">
        <v>26</v>
      </c>
      <c r="L5" t="s">
        <v>27</v>
      </c>
    </row>
    <row r="6" spans="1:18" x14ac:dyDescent="0.3">
      <c r="A6">
        <v>86</v>
      </c>
      <c r="B6" t="s">
        <v>23</v>
      </c>
      <c r="C6" t="s">
        <v>24</v>
      </c>
      <c r="D6" t="s">
        <v>44</v>
      </c>
      <c r="E6" s="1">
        <v>44930</v>
      </c>
      <c r="F6">
        <v>6</v>
      </c>
      <c r="G6">
        <v>405</v>
      </c>
      <c r="H6" s="4">
        <v>2430</v>
      </c>
      <c r="I6">
        <v>2500</v>
      </c>
      <c r="J6">
        <v>2023</v>
      </c>
      <c r="K6" t="s">
        <v>26</v>
      </c>
      <c r="L6" t="s">
        <v>27</v>
      </c>
    </row>
    <row r="7" spans="1:18" x14ac:dyDescent="0.3">
      <c r="A7">
        <v>94</v>
      </c>
      <c r="B7" t="s">
        <v>34</v>
      </c>
      <c r="C7" t="s">
        <v>19</v>
      </c>
      <c r="D7" t="s">
        <v>20</v>
      </c>
      <c r="E7" s="1">
        <v>44937</v>
      </c>
      <c r="F7">
        <v>10</v>
      </c>
      <c r="G7">
        <v>256</v>
      </c>
      <c r="H7" s="4">
        <v>2560</v>
      </c>
      <c r="I7">
        <v>1500</v>
      </c>
      <c r="J7">
        <v>2023</v>
      </c>
      <c r="K7" t="s">
        <v>26</v>
      </c>
      <c r="L7" t="s">
        <v>27</v>
      </c>
    </row>
    <row r="8" spans="1:18" x14ac:dyDescent="0.3">
      <c r="A8">
        <v>100</v>
      </c>
      <c r="B8" t="s">
        <v>18</v>
      </c>
      <c r="C8" t="s">
        <v>19</v>
      </c>
      <c r="D8" t="s">
        <v>48</v>
      </c>
      <c r="E8" s="1">
        <v>44933</v>
      </c>
      <c r="F8">
        <v>7</v>
      </c>
      <c r="G8">
        <v>942</v>
      </c>
      <c r="H8" s="4">
        <v>6594</v>
      </c>
      <c r="I8">
        <v>2500</v>
      </c>
      <c r="J8">
        <v>2023</v>
      </c>
      <c r="K8" t="s">
        <v>26</v>
      </c>
      <c r="L8" t="s">
        <v>27</v>
      </c>
    </row>
    <row r="9" spans="1:18" x14ac:dyDescent="0.3">
      <c r="A9">
        <v>156</v>
      </c>
      <c r="B9" t="s">
        <v>18</v>
      </c>
      <c r="C9" t="s">
        <v>19</v>
      </c>
      <c r="D9" t="s">
        <v>20</v>
      </c>
      <c r="E9" s="1">
        <v>44955</v>
      </c>
      <c r="F9">
        <v>5</v>
      </c>
      <c r="G9">
        <v>467</v>
      </c>
      <c r="H9" s="4">
        <v>2335</v>
      </c>
      <c r="I9">
        <v>2000</v>
      </c>
      <c r="J9">
        <v>2023</v>
      </c>
      <c r="K9" t="s">
        <v>26</v>
      </c>
      <c r="L9" t="s">
        <v>27</v>
      </c>
    </row>
    <row r="10" spans="1:18" x14ac:dyDescent="0.3">
      <c r="A10">
        <v>179</v>
      </c>
      <c r="B10" t="s">
        <v>18</v>
      </c>
      <c r="C10" t="s">
        <v>24</v>
      </c>
      <c r="D10" t="s">
        <v>44</v>
      </c>
      <c r="E10" s="1">
        <v>44943</v>
      </c>
      <c r="F10">
        <v>6</v>
      </c>
      <c r="G10">
        <v>322</v>
      </c>
      <c r="H10" s="4">
        <v>1932</v>
      </c>
      <c r="I10">
        <v>2500</v>
      </c>
      <c r="J10">
        <v>2023</v>
      </c>
      <c r="K10" t="s">
        <v>26</v>
      </c>
      <c r="L10" t="s">
        <v>27</v>
      </c>
    </row>
    <row r="11" spans="1:18" x14ac:dyDescent="0.3">
      <c r="A11">
        <v>9</v>
      </c>
      <c r="B11" t="s">
        <v>34</v>
      </c>
      <c r="C11" t="s">
        <v>35</v>
      </c>
      <c r="D11" t="s">
        <v>46</v>
      </c>
      <c r="E11" s="1">
        <v>44978</v>
      </c>
      <c r="F11">
        <v>7</v>
      </c>
      <c r="G11">
        <v>384</v>
      </c>
      <c r="H11" s="4">
        <v>2688</v>
      </c>
      <c r="I11">
        <v>2500</v>
      </c>
      <c r="J11">
        <v>2023</v>
      </c>
      <c r="K11" t="s">
        <v>26</v>
      </c>
      <c r="L11" t="s">
        <v>47</v>
      </c>
    </row>
    <row r="12" spans="1:18" x14ac:dyDescent="0.3">
      <c r="A12">
        <v>25</v>
      </c>
      <c r="B12" t="s">
        <v>23</v>
      </c>
      <c r="C12" t="s">
        <v>19</v>
      </c>
      <c r="D12" t="s">
        <v>48</v>
      </c>
      <c r="E12" s="1">
        <v>44962</v>
      </c>
      <c r="F12">
        <v>9</v>
      </c>
      <c r="G12">
        <v>884</v>
      </c>
      <c r="H12" s="4">
        <v>7956</v>
      </c>
      <c r="I12">
        <v>1500</v>
      </c>
      <c r="J12">
        <v>2023</v>
      </c>
      <c r="K12" t="s">
        <v>26</v>
      </c>
      <c r="L12" t="s">
        <v>47</v>
      </c>
    </row>
    <row r="13" spans="1:18" x14ac:dyDescent="0.3">
      <c r="A13">
        <v>34</v>
      </c>
      <c r="B13" t="s">
        <v>18</v>
      </c>
      <c r="C13" t="s">
        <v>19</v>
      </c>
      <c r="D13" t="s">
        <v>57</v>
      </c>
      <c r="E13" s="1">
        <v>44982</v>
      </c>
      <c r="F13">
        <v>4</v>
      </c>
      <c r="G13">
        <v>296</v>
      </c>
      <c r="H13" s="4">
        <v>1184</v>
      </c>
      <c r="I13">
        <v>1500</v>
      </c>
      <c r="J13">
        <v>2023</v>
      </c>
      <c r="K13" t="s">
        <v>26</v>
      </c>
      <c r="L13" t="s">
        <v>47</v>
      </c>
    </row>
    <row r="14" spans="1:18" x14ac:dyDescent="0.3">
      <c r="A14">
        <v>46</v>
      </c>
      <c r="B14" t="s">
        <v>18</v>
      </c>
      <c r="C14" t="s">
        <v>35</v>
      </c>
      <c r="D14" t="s">
        <v>36</v>
      </c>
      <c r="E14" s="1">
        <v>44964</v>
      </c>
      <c r="F14">
        <v>1</v>
      </c>
      <c r="G14">
        <v>569</v>
      </c>
      <c r="H14" s="4">
        <v>569</v>
      </c>
      <c r="I14">
        <v>1000</v>
      </c>
      <c r="J14">
        <v>2023</v>
      </c>
      <c r="K14" t="s">
        <v>26</v>
      </c>
      <c r="L14" t="s">
        <v>47</v>
      </c>
    </row>
    <row r="15" spans="1:18" x14ac:dyDescent="0.3">
      <c r="A15">
        <v>50</v>
      </c>
      <c r="B15" t="s">
        <v>28</v>
      </c>
      <c r="C15" t="s">
        <v>29</v>
      </c>
      <c r="D15" t="s">
        <v>33</v>
      </c>
      <c r="E15" s="1">
        <v>44981</v>
      </c>
      <c r="F15">
        <v>9</v>
      </c>
      <c r="G15">
        <v>259</v>
      </c>
      <c r="H15" s="4">
        <v>2331</v>
      </c>
      <c r="I15">
        <v>2000</v>
      </c>
      <c r="J15">
        <v>2023</v>
      </c>
      <c r="K15" t="s">
        <v>26</v>
      </c>
      <c r="L15" t="s">
        <v>47</v>
      </c>
    </row>
    <row r="16" spans="1:18" x14ac:dyDescent="0.3">
      <c r="A16">
        <v>107</v>
      </c>
      <c r="B16" t="s">
        <v>34</v>
      </c>
      <c r="C16" t="s">
        <v>24</v>
      </c>
      <c r="D16" t="s">
        <v>25</v>
      </c>
      <c r="E16" s="1">
        <v>44970</v>
      </c>
      <c r="F16">
        <v>4</v>
      </c>
      <c r="G16">
        <v>837</v>
      </c>
      <c r="H16" s="4">
        <v>3348</v>
      </c>
      <c r="I16">
        <v>2500</v>
      </c>
      <c r="J16">
        <v>2023</v>
      </c>
      <c r="K16" t="s">
        <v>26</v>
      </c>
      <c r="L16" t="s">
        <v>47</v>
      </c>
    </row>
    <row r="17" spans="1:12" x14ac:dyDescent="0.3">
      <c r="A17">
        <v>116</v>
      </c>
      <c r="B17" t="s">
        <v>23</v>
      </c>
      <c r="C17" t="s">
        <v>29</v>
      </c>
      <c r="D17" t="s">
        <v>30</v>
      </c>
      <c r="E17" s="1">
        <v>44979</v>
      </c>
      <c r="F17">
        <v>1</v>
      </c>
      <c r="G17">
        <v>687</v>
      </c>
      <c r="H17" s="4">
        <v>687</v>
      </c>
      <c r="I17">
        <v>2000</v>
      </c>
      <c r="J17">
        <v>2023</v>
      </c>
      <c r="K17" t="s">
        <v>26</v>
      </c>
      <c r="L17" t="s">
        <v>47</v>
      </c>
    </row>
    <row r="18" spans="1:12" x14ac:dyDescent="0.3">
      <c r="A18">
        <v>119</v>
      </c>
      <c r="B18" t="s">
        <v>18</v>
      </c>
      <c r="C18" t="s">
        <v>29</v>
      </c>
      <c r="D18" t="s">
        <v>50</v>
      </c>
      <c r="E18" s="1">
        <v>44970</v>
      </c>
      <c r="F18">
        <v>4</v>
      </c>
      <c r="G18">
        <v>221</v>
      </c>
      <c r="H18" s="4">
        <v>884</v>
      </c>
      <c r="I18">
        <v>2500</v>
      </c>
      <c r="J18">
        <v>2023</v>
      </c>
      <c r="K18" t="s">
        <v>26</v>
      </c>
      <c r="L18" t="s">
        <v>47</v>
      </c>
    </row>
    <row r="19" spans="1:12" x14ac:dyDescent="0.3">
      <c r="A19">
        <v>125</v>
      </c>
      <c r="B19" t="s">
        <v>23</v>
      </c>
      <c r="C19" t="s">
        <v>35</v>
      </c>
      <c r="D19" t="s">
        <v>54</v>
      </c>
      <c r="E19" s="1">
        <v>44963</v>
      </c>
      <c r="F19">
        <v>4</v>
      </c>
      <c r="G19">
        <v>370</v>
      </c>
      <c r="H19" s="4">
        <v>1480</v>
      </c>
      <c r="I19">
        <v>1500</v>
      </c>
      <c r="J19">
        <v>2023</v>
      </c>
      <c r="K19" t="s">
        <v>26</v>
      </c>
      <c r="L19" t="s">
        <v>47</v>
      </c>
    </row>
    <row r="20" spans="1:12" x14ac:dyDescent="0.3">
      <c r="A20">
        <v>135</v>
      </c>
      <c r="B20" t="s">
        <v>23</v>
      </c>
      <c r="C20" t="s">
        <v>24</v>
      </c>
      <c r="D20" t="s">
        <v>25</v>
      </c>
      <c r="E20" s="1">
        <v>44972</v>
      </c>
      <c r="F20">
        <v>6</v>
      </c>
      <c r="G20">
        <v>358</v>
      </c>
      <c r="H20" s="4">
        <v>2148</v>
      </c>
      <c r="I20">
        <v>2000</v>
      </c>
      <c r="J20">
        <v>2023</v>
      </c>
      <c r="K20" t="s">
        <v>26</v>
      </c>
      <c r="L20" t="s">
        <v>47</v>
      </c>
    </row>
    <row r="21" spans="1:12" x14ac:dyDescent="0.3">
      <c r="A21">
        <v>151</v>
      </c>
      <c r="B21" t="s">
        <v>34</v>
      </c>
      <c r="C21" t="s">
        <v>38</v>
      </c>
      <c r="D21" t="s">
        <v>41</v>
      </c>
      <c r="E21" s="1">
        <v>44965</v>
      </c>
      <c r="F21">
        <v>8</v>
      </c>
      <c r="G21">
        <v>900</v>
      </c>
      <c r="H21" s="4">
        <v>7200</v>
      </c>
      <c r="I21">
        <v>2000</v>
      </c>
      <c r="J21">
        <v>2023</v>
      </c>
      <c r="K21" t="s">
        <v>26</v>
      </c>
      <c r="L21" t="s">
        <v>47</v>
      </c>
    </row>
    <row r="22" spans="1:12" x14ac:dyDescent="0.3">
      <c r="A22">
        <v>173</v>
      </c>
      <c r="B22" t="s">
        <v>18</v>
      </c>
      <c r="C22" t="s">
        <v>24</v>
      </c>
      <c r="D22" t="s">
        <v>44</v>
      </c>
      <c r="E22" s="1">
        <v>44982</v>
      </c>
      <c r="F22">
        <v>4</v>
      </c>
      <c r="G22">
        <v>582</v>
      </c>
      <c r="H22" s="4">
        <v>2328</v>
      </c>
      <c r="I22">
        <v>1000</v>
      </c>
      <c r="J22">
        <v>2023</v>
      </c>
      <c r="K22" t="s">
        <v>26</v>
      </c>
      <c r="L22" t="s">
        <v>47</v>
      </c>
    </row>
    <row r="23" spans="1:12" x14ac:dyDescent="0.3">
      <c r="A23">
        <v>180</v>
      </c>
      <c r="B23" t="s">
        <v>18</v>
      </c>
      <c r="C23" t="s">
        <v>38</v>
      </c>
      <c r="D23" t="s">
        <v>39</v>
      </c>
      <c r="E23" s="1">
        <v>44977</v>
      </c>
      <c r="F23">
        <v>6</v>
      </c>
      <c r="G23">
        <v>657</v>
      </c>
      <c r="H23" s="4">
        <v>3942</v>
      </c>
      <c r="I23">
        <v>2000</v>
      </c>
      <c r="J23">
        <v>2023</v>
      </c>
      <c r="K23" t="s">
        <v>26</v>
      </c>
      <c r="L23" t="s">
        <v>47</v>
      </c>
    </row>
    <row r="24" spans="1:12" x14ac:dyDescent="0.3">
      <c r="A24">
        <v>188</v>
      </c>
      <c r="B24" t="s">
        <v>28</v>
      </c>
      <c r="C24" t="s">
        <v>38</v>
      </c>
      <c r="D24" t="s">
        <v>41</v>
      </c>
      <c r="E24" s="1">
        <v>44959</v>
      </c>
      <c r="F24">
        <v>8</v>
      </c>
      <c r="G24">
        <v>559</v>
      </c>
      <c r="H24" s="4">
        <v>4472</v>
      </c>
      <c r="I24">
        <v>2000</v>
      </c>
      <c r="J24">
        <v>2023</v>
      </c>
      <c r="K24" t="s">
        <v>26</v>
      </c>
      <c r="L24" t="s">
        <v>47</v>
      </c>
    </row>
    <row r="25" spans="1:12" x14ac:dyDescent="0.3">
      <c r="A25">
        <v>192</v>
      </c>
      <c r="B25" t="s">
        <v>34</v>
      </c>
      <c r="C25" t="s">
        <v>35</v>
      </c>
      <c r="D25" t="s">
        <v>54</v>
      </c>
      <c r="E25" s="1">
        <v>44960</v>
      </c>
      <c r="F25">
        <v>3</v>
      </c>
      <c r="G25">
        <v>381</v>
      </c>
      <c r="H25" s="4">
        <v>1143</v>
      </c>
      <c r="I25">
        <v>2000</v>
      </c>
      <c r="J25">
        <v>2023</v>
      </c>
      <c r="K25" t="s">
        <v>26</v>
      </c>
      <c r="L25" t="s">
        <v>47</v>
      </c>
    </row>
    <row r="26" spans="1:12" x14ac:dyDescent="0.3">
      <c r="A26">
        <v>197</v>
      </c>
      <c r="B26" t="s">
        <v>23</v>
      </c>
      <c r="C26" t="s">
        <v>35</v>
      </c>
      <c r="D26" t="s">
        <v>46</v>
      </c>
      <c r="E26" s="1">
        <v>44961</v>
      </c>
      <c r="F26">
        <v>2</v>
      </c>
      <c r="G26">
        <v>951</v>
      </c>
      <c r="H26" s="4">
        <v>1902</v>
      </c>
      <c r="I26">
        <v>1000</v>
      </c>
      <c r="J26">
        <v>2023</v>
      </c>
      <c r="K26" t="s">
        <v>26</v>
      </c>
      <c r="L26" t="s">
        <v>47</v>
      </c>
    </row>
    <row r="27" spans="1:12" x14ac:dyDescent="0.3">
      <c r="A27">
        <v>17</v>
      </c>
      <c r="B27" t="s">
        <v>28</v>
      </c>
      <c r="C27" t="s">
        <v>19</v>
      </c>
      <c r="D27" t="s">
        <v>20</v>
      </c>
      <c r="E27" s="1">
        <v>45005</v>
      </c>
      <c r="F27">
        <v>3</v>
      </c>
      <c r="G27">
        <v>911</v>
      </c>
      <c r="H27" s="4">
        <v>2733</v>
      </c>
      <c r="I27">
        <v>2500</v>
      </c>
      <c r="J27">
        <v>2023</v>
      </c>
      <c r="K27" t="s">
        <v>26</v>
      </c>
      <c r="L27" t="s">
        <v>52</v>
      </c>
    </row>
    <row r="28" spans="1:12" x14ac:dyDescent="0.3">
      <c r="A28">
        <v>22</v>
      </c>
      <c r="B28" t="s">
        <v>34</v>
      </c>
      <c r="C28" t="s">
        <v>24</v>
      </c>
      <c r="D28" t="s">
        <v>51</v>
      </c>
      <c r="E28" s="1">
        <v>45005</v>
      </c>
      <c r="F28">
        <v>6</v>
      </c>
      <c r="G28">
        <v>880</v>
      </c>
      <c r="H28" s="4">
        <v>5280</v>
      </c>
      <c r="I28">
        <v>1500</v>
      </c>
      <c r="J28">
        <v>2023</v>
      </c>
      <c r="K28" t="s">
        <v>26</v>
      </c>
      <c r="L28" t="s">
        <v>52</v>
      </c>
    </row>
    <row r="29" spans="1:12" x14ac:dyDescent="0.3">
      <c r="A29">
        <v>28</v>
      </c>
      <c r="B29" t="s">
        <v>23</v>
      </c>
      <c r="C29" t="s">
        <v>38</v>
      </c>
      <c r="D29" t="s">
        <v>41</v>
      </c>
      <c r="E29" s="1">
        <v>44988</v>
      </c>
      <c r="F29">
        <v>4</v>
      </c>
      <c r="G29">
        <v>330</v>
      </c>
      <c r="H29" s="4">
        <v>1320</v>
      </c>
      <c r="I29">
        <v>1000</v>
      </c>
      <c r="J29">
        <v>2023</v>
      </c>
      <c r="K29" t="s">
        <v>26</v>
      </c>
      <c r="L29" t="s">
        <v>52</v>
      </c>
    </row>
    <row r="30" spans="1:12" x14ac:dyDescent="0.3">
      <c r="A30">
        <v>78</v>
      </c>
      <c r="B30" t="s">
        <v>34</v>
      </c>
      <c r="C30" t="s">
        <v>19</v>
      </c>
      <c r="D30" t="s">
        <v>48</v>
      </c>
      <c r="E30" s="1">
        <v>44989</v>
      </c>
      <c r="F30">
        <v>8</v>
      </c>
      <c r="G30">
        <v>236</v>
      </c>
      <c r="H30" s="4">
        <v>1888</v>
      </c>
      <c r="I30">
        <v>2500</v>
      </c>
      <c r="J30">
        <v>2023</v>
      </c>
      <c r="K30" t="s">
        <v>26</v>
      </c>
      <c r="L30" t="s">
        <v>52</v>
      </c>
    </row>
    <row r="31" spans="1:12" x14ac:dyDescent="0.3">
      <c r="A31">
        <v>83</v>
      </c>
      <c r="B31" t="s">
        <v>34</v>
      </c>
      <c r="C31" t="s">
        <v>24</v>
      </c>
      <c r="D31" t="s">
        <v>25</v>
      </c>
      <c r="E31" s="1">
        <v>45004</v>
      </c>
      <c r="F31">
        <v>4</v>
      </c>
      <c r="G31">
        <v>492</v>
      </c>
      <c r="H31" s="4">
        <v>1968</v>
      </c>
      <c r="I31">
        <v>1500</v>
      </c>
      <c r="J31">
        <v>2023</v>
      </c>
      <c r="K31" t="s">
        <v>26</v>
      </c>
      <c r="L31" t="s">
        <v>52</v>
      </c>
    </row>
    <row r="32" spans="1:12" x14ac:dyDescent="0.3">
      <c r="A32">
        <v>90</v>
      </c>
      <c r="B32" t="s">
        <v>23</v>
      </c>
      <c r="C32" t="s">
        <v>19</v>
      </c>
      <c r="D32" t="s">
        <v>48</v>
      </c>
      <c r="E32" s="1">
        <v>44996</v>
      </c>
      <c r="F32">
        <v>8</v>
      </c>
      <c r="G32">
        <v>286</v>
      </c>
      <c r="H32" s="4">
        <v>2288</v>
      </c>
      <c r="I32">
        <v>1000</v>
      </c>
      <c r="J32">
        <v>2023</v>
      </c>
      <c r="K32" t="s">
        <v>26</v>
      </c>
      <c r="L32" t="s">
        <v>52</v>
      </c>
    </row>
    <row r="33" spans="1:12" x14ac:dyDescent="0.3">
      <c r="A33">
        <v>96</v>
      </c>
      <c r="B33" t="s">
        <v>28</v>
      </c>
      <c r="C33" t="s">
        <v>35</v>
      </c>
      <c r="D33" t="s">
        <v>46</v>
      </c>
      <c r="E33" s="1">
        <v>45010</v>
      </c>
      <c r="F33">
        <v>5</v>
      </c>
      <c r="G33">
        <v>210</v>
      </c>
      <c r="H33" s="4">
        <v>1050</v>
      </c>
      <c r="I33">
        <v>1000</v>
      </c>
      <c r="J33">
        <v>2023</v>
      </c>
      <c r="K33" t="s">
        <v>26</v>
      </c>
      <c r="L33" t="s">
        <v>52</v>
      </c>
    </row>
    <row r="34" spans="1:12" x14ac:dyDescent="0.3">
      <c r="A34">
        <v>186</v>
      </c>
      <c r="B34" t="s">
        <v>28</v>
      </c>
      <c r="C34" t="s">
        <v>19</v>
      </c>
      <c r="D34" t="s">
        <v>48</v>
      </c>
      <c r="E34" s="1">
        <v>44994</v>
      </c>
      <c r="F34">
        <v>1</v>
      </c>
      <c r="G34">
        <v>466</v>
      </c>
      <c r="H34" s="4">
        <v>466</v>
      </c>
      <c r="I34">
        <v>1500</v>
      </c>
      <c r="J34">
        <v>2023</v>
      </c>
      <c r="K34" t="s">
        <v>26</v>
      </c>
      <c r="L34" t="s">
        <v>52</v>
      </c>
    </row>
    <row r="35" spans="1:12" x14ac:dyDescent="0.3">
      <c r="A35">
        <v>187</v>
      </c>
      <c r="B35" t="s">
        <v>28</v>
      </c>
      <c r="C35" t="s">
        <v>24</v>
      </c>
      <c r="D35" t="s">
        <v>44</v>
      </c>
      <c r="E35" s="1">
        <v>45016</v>
      </c>
      <c r="F35">
        <v>5</v>
      </c>
      <c r="G35">
        <v>153</v>
      </c>
      <c r="H35" s="4">
        <v>765</v>
      </c>
      <c r="I35">
        <v>1500</v>
      </c>
      <c r="J35">
        <v>2023</v>
      </c>
      <c r="K35" t="s">
        <v>26</v>
      </c>
      <c r="L35" t="s">
        <v>52</v>
      </c>
    </row>
    <row r="36" spans="1:12" x14ac:dyDescent="0.3">
      <c r="A36">
        <v>5</v>
      </c>
      <c r="B36" t="s">
        <v>34</v>
      </c>
      <c r="C36" t="s">
        <v>35</v>
      </c>
      <c r="D36" t="s">
        <v>36</v>
      </c>
      <c r="E36" s="1">
        <v>45037</v>
      </c>
      <c r="F36">
        <v>6</v>
      </c>
      <c r="G36">
        <v>204</v>
      </c>
      <c r="H36" s="4">
        <v>1224</v>
      </c>
      <c r="I36">
        <v>1000</v>
      </c>
      <c r="J36">
        <v>2023</v>
      </c>
      <c r="K36" t="s">
        <v>21</v>
      </c>
      <c r="L36" t="s">
        <v>37</v>
      </c>
    </row>
    <row r="37" spans="1:12" x14ac:dyDescent="0.3">
      <c r="A37">
        <v>14</v>
      </c>
      <c r="B37" t="s">
        <v>18</v>
      </c>
      <c r="C37" t="s">
        <v>24</v>
      </c>
      <c r="D37" t="s">
        <v>51</v>
      </c>
      <c r="E37" s="1">
        <v>45035</v>
      </c>
      <c r="F37">
        <v>8</v>
      </c>
      <c r="G37">
        <v>505</v>
      </c>
      <c r="H37" s="4">
        <v>4040</v>
      </c>
      <c r="I37">
        <v>2500</v>
      </c>
      <c r="J37">
        <v>2023</v>
      </c>
      <c r="K37" t="s">
        <v>21</v>
      </c>
      <c r="L37" t="s">
        <v>37</v>
      </c>
    </row>
    <row r="38" spans="1:12" x14ac:dyDescent="0.3">
      <c r="A38">
        <v>31</v>
      </c>
      <c r="B38" t="s">
        <v>23</v>
      </c>
      <c r="C38" t="s">
        <v>35</v>
      </c>
      <c r="D38" t="s">
        <v>54</v>
      </c>
      <c r="E38" s="1">
        <v>45036</v>
      </c>
      <c r="F38">
        <v>9</v>
      </c>
      <c r="G38">
        <v>235</v>
      </c>
      <c r="H38" s="4">
        <v>2115</v>
      </c>
      <c r="I38">
        <v>2500</v>
      </c>
      <c r="J38">
        <v>2023</v>
      </c>
      <c r="K38" t="s">
        <v>21</v>
      </c>
      <c r="L38" t="s">
        <v>37</v>
      </c>
    </row>
    <row r="39" spans="1:12" x14ac:dyDescent="0.3">
      <c r="A39">
        <v>32</v>
      </c>
      <c r="B39" t="s">
        <v>23</v>
      </c>
      <c r="C39" t="s">
        <v>29</v>
      </c>
      <c r="D39" t="s">
        <v>33</v>
      </c>
      <c r="E39" s="1">
        <v>45024</v>
      </c>
      <c r="F39">
        <v>2</v>
      </c>
      <c r="G39">
        <v>199</v>
      </c>
      <c r="H39" s="4">
        <v>398</v>
      </c>
      <c r="I39">
        <v>2500</v>
      </c>
      <c r="J39">
        <v>2023</v>
      </c>
      <c r="K39" t="s">
        <v>21</v>
      </c>
      <c r="L39" t="s">
        <v>37</v>
      </c>
    </row>
    <row r="40" spans="1:12" x14ac:dyDescent="0.3">
      <c r="A40">
        <v>40</v>
      </c>
      <c r="B40" t="s">
        <v>18</v>
      </c>
      <c r="C40" t="s">
        <v>29</v>
      </c>
      <c r="D40" t="s">
        <v>50</v>
      </c>
      <c r="E40" s="1">
        <v>45038</v>
      </c>
      <c r="F40">
        <v>1</v>
      </c>
      <c r="G40">
        <v>693</v>
      </c>
      <c r="H40" s="4">
        <v>693</v>
      </c>
      <c r="I40">
        <v>1000</v>
      </c>
      <c r="J40">
        <v>2023</v>
      </c>
      <c r="K40" t="s">
        <v>21</v>
      </c>
      <c r="L40" t="s">
        <v>37</v>
      </c>
    </row>
    <row r="41" spans="1:12" x14ac:dyDescent="0.3">
      <c r="A41">
        <v>42</v>
      </c>
      <c r="B41" t="s">
        <v>28</v>
      </c>
      <c r="C41" t="s">
        <v>19</v>
      </c>
      <c r="D41" t="s">
        <v>48</v>
      </c>
      <c r="E41" s="1">
        <v>45022</v>
      </c>
      <c r="F41">
        <v>2</v>
      </c>
      <c r="G41">
        <v>709</v>
      </c>
      <c r="H41" s="4">
        <v>1418</v>
      </c>
      <c r="I41">
        <v>1000</v>
      </c>
      <c r="J41">
        <v>2023</v>
      </c>
      <c r="K41" t="s">
        <v>21</v>
      </c>
      <c r="L41" t="s">
        <v>37</v>
      </c>
    </row>
    <row r="42" spans="1:12" x14ac:dyDescent="0.3">
      <c r="A42">
        <v>57</v>
      </c>
      <c r="B42" t="s">
        <v>18</v>
      </c>
      <c r="C42" t="s">
        <v>35</v>
      </c>
      <c r="D42" t="s">
        <v>46</v>
      </c>
      <c r="E42" s="1">
        <v>45034</v>
      </c>
      <c r="F42">
        <v>4</v>
      </c>
      <c r="G42">
        <v>782</v>
      </c>
      <c r="H42" s="4">
        <v>3128</v>
      </c>
      <c r="I42">
        <v>1000</v>
      </c>
      <c r="J42">
        <v>2023</v>
      </c>
      <c r="K42" t="s">
        <v>21</v>
      </c>
      <c r="L42" t="s">
        <v>37</v>
      </c>
    </row>
    <row r="43" spans="1:12" x14ac:dyDescent="0.3">
      <c r="A43">
        <v>59</v>
      </c>
      <c r="B43" t="s">
        <v>28</v>
      </c>
      <c r="C43" t="s">
        <v>29</v>
      </c>
      <c r="D43" t="s">
        <v>33</v>
      </c>
      <c r="E43" s="1">
        <v>45018</v>
      </c>
      <c r="F43">
        <v>6</v>
      </c>
      <c r="G43">
        <v>901</v>
      </c>
      <c r="H43" s="4">
        <v>5406</v>
      </c>
      <c r="I43">
        <v>2500</v>
      </c>
      <c r="J43">
        <v>2023</v>
      </c>
      <c r="K43" t="s">
        <v>21</v>
      </c>
      <c r="L43" t="s">
        <v>37</v>
      </c>
    </row>
    <row r="44" spans="1:12" x14ac:dyDescent="0.3">
      <c r="A44">
        <v>74</v>
      </c>
      <c r="B44" t="s">
        <v>18</v>
      </c>
      <c r="C44" t="s">
        <v>19</v>
      </c>
      <c r="D44" t="s">
        <v>20</v>
      </c>
      <c r="E44" s="1">
        <v>45042</v>
      </c>
      <c r="F44">
        <v>4</v>
      </c>
      <c r="G44">
        <v>250</v>
      </c>
      <c r="H44" s="4">
        <v>1000</v>
      </c>
      <c r="I44">
        <v>1000</v>
      </c>
      <c r="J44">
        <v>2023</v>
      </c>
      <c r="K44" t="s">
        <v>21</v>
      </c>
      <c r="L44" t="s">
        <v>37</v>
      </c>
    </row>
    <row r="45" spans="1:12" x14ac:dyDescent="0.3">
      <c r="A45">
        <v>77</v>
      </c>
      <c r="B45" t="s">
        <v>23</v>
      </c>
      <c r="C45" t="s">
        <v>19</v>
      </c>
      <c r="D45" t="s">
        <v>20</v>
      </c>
      <c r="E45" s="1">
        <v>45039</v>
      </c>
      <c r="F45">
        <v>3</v>
      </c>
      <c r="G45">
        <v>923</v>
      </c>
      <c r="H45" s="4">
        <v>2769</v>
      </c>
      <c r="I45">
        <v>2500</v>
      </c>
      <c r="J45">
        <v>2023</v>
      </c>
      <c r="K45" t="s">
        <v>21</v>
      </c>
      <c r="L45" t="s">
        <v>37</v>
      </c>
    </row>
    <row r="46" spans="1:12" x14ac:dyDescent="0.3">
      <c r="A46">
        <v>91</v>
      </c>
      <c r="B46" t="s">
        <v>18</v>
      </c>
      <c r="C46" t="s">
        <v>35</v>
      </c>
      <c r="D46" t="s">
        <v>36</v>
      </c>
      <c r="E46" s="1">
        <v>45035</v>
      </c>
      <c r="F46">
        <v>8</v>
      </c>
      <c r="G46">
        <v>434</v>
      </c>
      <c r="H46" s="4">
        <v>3472</v>
      </c>
      <c r="I46">
        <v>2000</v>
      </c>
      <c r="J46">
        <v>2023</v>
      </c>
      <c r="K46" t="s">
        <v>21</v>
      </c>
      <c r="L46" t="s">
        <v>37</v>
      </c>
    </row>
    <row r="47" spans="1:12" x14ac:dyDescent="0.3">
      <c r="A47">
        <v>93</v>
      </c>
      <c r="B47" t="s">
        <v>18</v>
      </c>
      <c r="C47" t="s">
        <v>24</v>
      </c>
      <c r="D47" t="s">
        <v>25</v>
      </c>
      <c r="E47" s="1">
        <v>45041</v>
      </c>
      <c r="F47">
        <v>2</v>
      </c>
      <c r="G47">
        <v>899</v>
      </c>
      <c r="H47" s="4">
        <v>1798</v>
      </c>
      <c r="I47">
        <v>1000</v>
      </c>
      <c r="J47">
        <v>2023</v>
      </c>
      <c r="K47" t="s">
        <v>21</v>
      </c>
      <c r="L47" t="s">
        <v>37</v>
      </c>
    </row>
    <row r="48" spans="1:12" x14ac:dyDescent="0.3">
      <c r="A48">
        <v>112</v>
      </c>
      <c r="B48" t="s">
        <v>28</v>
      </c>
      <c r="C48" t="s">
        <v>35</v>
      </c>
      <c r="D48" t="s">
        <v>46</v>
      </c>
      <c r="E48" s="1">
        <v>45025</v>
      </c>
      <c r="F48">
        <v>6</v>
      </c>
      <c r="G48">
        <v>222</v>
      </c>
      <c r="H48" s="4">
        <v>1332</v>
      </c>
      <c r="I48">
        <v>1500</v>
      </c>
      <c r="J48">
        <v>2023</v>
      </c>
      <c r="K48" t="s">
        <v>21</v>
      </c>
      <c r="L48" t="s">
        <v>37</v>
      </c>
    </row>
    <row r="49" spans="1:18" x14ac:dyDescent="0.3">
      <c r="A49">
        <v>114</v>
      </c>
      <c r="B49" t="s">
        <v>18</v>
      </c>
      <c r="C49" t="s">
        <v>19</v>
      </c>
      <c r="D49" t="s">
        <v>20</v>
      </c>
      <c r="E49" s="1">
        <v>45043</v>
      </c>
      <c r="F49">
        <v>6</v>
      </c>
      <c r="G49">
        <v>283</v>
      </c>
      <c r="H49" s="4">
        <v>1698</v>
      </c>
      <c r="I49">
        <v>2000</v>
      </c>
      <c r="J49">
        <v>2023</v>
      </c>
      <c r="K49" t="s">
        <v>21</v>
      </c>
      <c r="L49" t="s">
        <v>37</v>
      </c>
    </row>
    <row r="50" spans="1:18" x14ac:dyDescent="0.3">
      <c r="A50">
        <v>122</v>
      </c>
      <c r="B50" t="s">
        <v>28</v>
      </c>
      <c r="C50" t="s">
        <v>24</v>
      </c>
      <c r="D50" t="s">
        <v>51</v>
      </c>
      <c r="E50" s="1">
        <v>45033</v>
      </c>
      <c r="F50">
        <v>4</v>
      </c>
      <c r="G50">
        <v>370</v>
      </c>
      <c r="H50" s="4">
        <v>1480</v>
      </c>
      <c r="I50">
        <v>1000</v>
      </c>
      <c r="J50">
        <v>2023</v>
      </c>
      <c r="K50" t="s">
        <v>21</v>
      </c>
      <c r="L50" t="s">
        <v>37</v>
      </c>
    </row>
    <row r="51" spans="1:18" x14ac:dyDescent="0.3">
      <c r="A51">
        <v>159</v>
      </c>
      <c r="B51" t="s">
        <v>34</v>
      </c>
      <c r="C51" t="s">
        <v>38</v>
      </c>
      <c r="D51" t="s">
        <v>41</v>
      </c>
      <c r="E51" s="1">
        <v>45045</v>
      </c>
      <c r="F51">
        <v>8</v>
      </c>
      <c r="G51">
        <v>753</v>
      </c>
      <c r="H51" s="4">
        <v>6024</v>
      </c>
      <c r="I51">
        <v>2000</v>
      </c>
      <c r="J51">
        <v>2023</v>
      </c>
      <c r="K51" t="s">
        <v>21</v>
      </c>
      <c r="L51" t="s">
        <v>37</v>
      </c>
    </row>
    <row r="52" spans="1:18" x14ac:dyDescent="0.3">
      <c r="A52">
        <v>162</v>
      </c>
      <c r="B52" t="s">
        <v>18</v>
      </c>
      <c r="C52" t="s">
        <v>35</v>
      </c>
      <c r="D52" t="s">
        <v>36</v>
      </c>
      <c r="E52" s="1">
        <v>45028</v>
      </c>
      <c r="F52">
        <v>7</v>
      </c>
      <c r="G52">
        <v>973</v>
      </c>
      <c r="H52" s="4">
        <v>6811</v>
      </c>
      <c r="I52">
        <v>2500</v>
      </c>
      <c r="J52">
        <v>2023</v>
      </c>
      <c r="K52" t="s">
        <v>21</v>
      </c>
      <c r="L52" t="s">
        <v>37</v>
      </c>
    </row>
    <row r="53" spans="1:18" x14ac:dyDescent="0.3">
      <c r="A53">
        <v>181</v>
      </c>
      <c r="B53" t="s">
        <v>18</v>
      </c>
      <c r="C53" t="s">
        <v>19</v>
      </c>
      <c r="D53" t="s">
        <v>57</v>
      </c>
      <c r="E53" s="1">
        <v>45024</v>
      </c>
      <c r="F53">
        <v>2</v>
      </c>
      <c r="G53">
        <v>968</v>
      </c>
      <c r="H53" s="4">
        <v>1936</v>
      </c>
      <c r="I53">
        <v>2500</v>
      </c>
      <c r="J53">
        <v>2023</v>
      </c>
      <c r="K53" t="s">
        <v>21</v>
      </c>
      <c r="L53" t="s">
        <v>37</v>
      </c>
    </row>
    <row r="54" spans="1:18" x14ac:dyDescent="0.3">
      <c r="A54">
        <v>1</v>
      </c>
      <c r="B54" t="s">
        <v>18</v>
      </c>
      <c r="C54" t="s">
        <v>19</v>
      </c>
      <c r="D54" t="s">
        <v>20</v>
      </c>
      <c r="E54" s="1">
        <v>45052</v>
      </c>
      <c r="F54">
        <v>4</v>
      </c>
      <c r="G54">
        <v>242</v>
      </c>
      <c r="H54" s="4">
        <v>195</v>
      </c>
      <c r="I54">
        <v>1000</v>
      </c>
      <c r="J54">
        <v>2023</v>
      </c>
      <c r="K54" t="s">
        <v>21</v>
      </c>
      <c r="L54" t="s">
        <v>22</v>
      </c>
      <c r="M54">
        <v>805</v>
      </c>
      <c r="N54" t="b">
        <v>1</v>
      </c>
      <c r="Q54">
        <v>3</v>
      </c>
      <c r="R54" t="s">
        <v>7</v>
      </c>
    </row>
    <row r="55" spans="1:18" x14ac:dyDescent="0.3">
      <c r="A55">
        <v>15</v>
      </c>
      <c r="B55" t="s">
        <v>34</v>
      </c>
      <c r="C55" t="s">
        <v>29</v>
      </c>
      <c r="D55" t="s">
        <v>33</v>
      </c>
      <c r="E55" s="1">
        <v>45053</v>
      </c>
      <c r="F55">
        <v>9</v>
      </c>
      <c r="G55">
        <v>651</v>
      </c>
      <c r="H55" s="4">
        <v>5859</v>
      </c>
      <c r="I55">
        <v>2000</v>
      </c>
      <c r="J55">
        <v>2023</v>
      </c>
      <c r="K55" t="s">
        <v>21</v>
      </c>
      <c r="L55" t="s">
        <v>22</v>
      </c>
    </row>
    <row r="56" spans="1:18" x14ac:dyDescent="0.3">
      <c r="A56">
        <v>24</v>
      </c>
      <c r="B56" t="s">
        <v>18</v>
      </c>
      <c r="C56" t="s">
        <v>19</v>
      </c>
      <c r="D56" t="s">
        <v>57</v>
      </c>
      <c r="E56" s="1">
        <v>45049</v>
      </c>
      <c r="F56">
        <v>1</v>
      </c>
      <c r="G56">
        <v>346</v>
      </c>
      <c r="H56" s="4">
        <v>346</v>
      </c>
      <c r="I56">
        <v>1000</v>
      </c>
      <c r="J56">
        <v>2023</v>
      </c>
      <c r="K56" t="s">
        <v>21</v>
      </c>
      <c r="L56" t="s">
        <v>22</v>
      </c>
    </row>
    <row r="57" spans="1:18" x14ac:dyDescent="0.3">
      <c r="A57">
        <v>45</v>
      </c>
      <c r="B57" t="s">
        <v>18</v>
      </c>
      <c r="C57" t="s">
        <v>35</v>
      </c>
      <c r="D57" t="s">
        <v>46</v>
      </c>
      <c r="E57" s="1">
        <v>45049</v>
      </c>
      <c r="F57">
        <v>5</v>
      </c>
      <c r="G57">
        <v>505</v>
      </c>
      <c r="H57" s="4">
        <v>2525</v>
      </c>
      <c r="I57">
        <v>1500</v>
      </c>
      <c r="J57">
        <v>2023</v>
      </c>
      <c r="K57" t="s">
        <v>21</v>
      </c>
      <c r="L57" t="s">
        <v>22</v>
      </c>
    </row>
    <row r="58" spans="1:18" x14ac:dyDescent="0.3">
      <c r="A58">
        <v>48</v>
      </c>
      <c r="B58" t="s">
        <v>18</v>
      </c>
      <c r="C58" t="s">
        <v>19</v>
      </c>
      <c r="D58" t="s">
        <v>20</v>
      </c>
      <c r="E58" s="1">
        <v>45072</v>
      </c>
      <c r="F58">
        <v>3</v>
      </c>
      <c r="G58">
        <v>548</v>
      </c>
      <c r="H58" s="4">
        <v>1644</v>
      </c>
      <c r="I58">
        <v>2000</v>
      </c>
      <c r="J58">
        <v>2023</v>
      </c>
      <c r="K58" t="s">
        <v>21</v>
      </c>
      <c r="L58" t="s">
        <v>22</v>
      </c>
    </row>
    <row r="59" spans="1:18" x14ac:dyDescent="0.3">
      <c r="A59">
        <v>66</v>
      </c>
      <c r="B59" t="s">
        <v>34</v>
      </c>
      <c r="C59" t="s">
        <v>38</v>
      </c>
      <c r="D59" t="s">
        <v>41</v>
      </c>
      <c r="E59" s="1">
        <v>45057</v>
      </c>
      <c r="F59">
        <v>1</v>
      </c>
      <c r="G59">
        <v>825</v>
      </c>
      <c r="H59" s="4">
        <v>825</v>
      </c>
      <c r="I59">
        <v>2500</v>
      </c>
      <c r="J59">
        <v>2023</v>
      </c>
      <c r="K59" t="s">
        <v>21</v>
      </c>
      <c r="L59" t="s">
        <v>22</v>
      </c>
    </row>
    <row r="60" spans="1:18" x14ac:dyDescent="0.3">
      <c r="A60">
        <v>71</v>
      </c>
      <c r="B60" t="s">
        <v>18</v>
      </c>
      <c r="C60" t="s">
        <v>24</v>
      </c>
      <c r="D60" t="s">
        <v>25</v>
      </c>
      <c r="E60" s="1">
        <v>45073</v>
      </c>
      <c r="F60">
        <v>4</v>
      </c>
      <c r="G60">
        <v>540</v>
      </c>
      <c r="H60" s="4">
        <v>2160</v>
      </c>
      <c r="I60">
        <v>2000</v>
      </c>
      <c r="J60">
        <v>2023</v>
      </c>
      <c r="K60" t="s">
        <v>21</v>
      </c>
      <c r="L60" t="s">
        <v>22</v>
      </c>
    </row>
    <row r="61" spans="1:18" x14ac:dyDescent="0.3">
      <c r="A61">
        <v>73</v>
      </c>
      <c r="B61" t="s">
        <v>28</v>
      </c>
      <c r="C61" t="s">
        <v>29</v>
      </c>
      <c r="D61" t="s">
        <v>30</v>
      </c>
      <c r="E61" s="1">
        <v>45072</v>
      </c>
      <c r="F61">
        <v>9</v>
      </c>
      <c r="G61">
        <v>779</v>
      </c>
      <c r="H61" s="4">
        <v>7011</v>
      </c>
      <c r="I61">
        <v>2000</v>
      </c>
      <c r="J61">
        <v>2023</v>
      </c>
      <c r="K61" t="s">
        <v>21</v>
      </c>
      <c r="L61" t="s">
        <v>22</v>
      </c>
    </row>
    <row r="62" spans="1:18" x14ac:dyDescent="0.3">
      <c r="A62">
        <v>82</v>
      </c>
      <c r="B62" t="s">
        <v>18</v>
      </c>
      <c r="C62" t="s">
        <v>19</v>
      </c>
      <c r="D62" t="s">
        <v>48</v>
      </c>
      <c r="E62" s="1">
        <v>45047</v>
      </c>
      <c r="F62">
        <v>5</v>
      </c>
      <c r="G62">
        <v>443</v>
      </c>
      <c r="H62" s="4">
        <v>2215</v>
      </c>
      <c r="I62">
        <v>2000</v>
      </c>
      <c r="J62">
        <v>2023</v>
      </c>
      <c r="K62" t="s">
        <v>21</v>
      </c>
      <c r="L62" t="s">
        <v>22</v>
      </c>
    </row>
    <row r="63" spans="1:18" x14ac:dyDescent="0.3">
      <c r="A63">
        <v>92</v>
      </c>
      <c r="B63" t="s">
        <v>23</v>
      </c>
      <c r="C63" t="s">
        <v>38</v>
      </c>
      <c r="D63" t="s">
        <v>49</v>
      </c>
      <c r="E63" s="1">
        <v>45056</v>
      </c>
      <c r="F63">
        <v>2</v>
      </c>
      <c r="G63">
        <v>581</v>
      </c>
      <c r="H63" s="4">
        <v>1162</v>
      </c>
      <c r="I63">
        <v>1000</v>
      </c>
      <c r="J63">
        <v>2023</v>
      </c>
      <c r="K63" t="s">
        <v>21</v>
      </c>
      <c r="L63" t="s">
        <v>22</v>
      </c>
    </row>
    <row r="64" spans="1:18" x14ac:dyDescent="0.3">
      <c r="A64">
        <v>106</v>
      </c>
      <c r="B64" t="s">
        <v>18</v>
      </c>
      <c r="C64" t="s">
        <v>35</v>
      </c>
      <c r="D64" t="s">
        <v>36</v>
      </c>
      <c r="E64" s="1">
        <v>45070</v>
      </c>
      <c r="F64">
        <v>10</v>
      </c>
      <c r="G64">
        <v>818</v>
      </c>
      <c r="H64" s="4">
        <v>8180</v>
      </c>
      <c r="I64">
        <v>2000</v>
      </c>
      <c r="J64">
        <v>2023</v>
      </c>
      <c r="K64" t="s">
        <v>21</v>
      </c>
      <c r="L64" t="s">
        <v>22</v>
      </c>
    </row>
    <row r="65" spans="1:12" x14ac:dyDescent="0.3">
      <c r="A65">
        <v>109</v>
      </c>
      <c r="B65" t="s">
        <v>28</v>
      </c>
      <c r="C65" t="s">
        <v>38</v>
      </c>
      <c r="D65" t="s">
        <v>39</v>
      </c>
      <c r="E65" s="1">
        <v>45077</v>
      </c>
      <c r="F65">
        <v>4</v>
      </c>
      <c r="G65">
        <v>514</v>
      </c>
      <c r="H65" s="4">
        <v>2056</v>
      </c>
      <c r="I65">
        <v>1500</v>
      </c>
      <c r="J65">
        <v>2023</v>
      </c>
      <c r="K65" t="s">
        <v>21</v>
      </c>
      <c r="L65" t="s">
        <v>22</v>
      </c>
    </row>
    <row r="66" spans="1:12" x14ac:dyDescent="0.3">
      <c r="A66">
        <v>113</v>
      </c>
      <c r="B66" t="s">
        <v>23</v>
      </c>
      <c r="C66" t="s">
        <v>29</v>
      </c>
      <c r="D66" t="s">
        <v>50</v>
      </c>
      <c r="E66" s="1">
        <v>45068</v>
      </c>
      <c r="F66">
        <v>10</v>
      </c>
      <c r="G66">
        <v>878</v>
      </c>
      <c r="H66" s="4">
        <v>8780</v>
      </c>
      <c r="I66">
        <v>2000</v>
      </c>
      <c r="J66">
        <v>2023</v>
      </c>
      <c r="K66" t="s">
        <v>21</v>
      </c>
      <c r="L66" t="s">
        <v>22</v>
      </c>
    </row>
    <row r="67" spans="1:12" x14ac:dyDescent="0.3">
      <c r="A67">
        <v>115</v>
      </c>
      <c r="B67" t="s">
        <v>34</v>
      </c>
      <c r="C67" t="s">
        <v>19</v>
      </c>
      <c r="D67" t="s">
        <v>48</v>
      </c>
      <c r="E67" s="1">
        <v>45067</v>
      </c>
      <c r="F67">
        <v>1</v>
      </c>
      <c r="G67">
        <v>155</v>
      </c>
      <c r="H67" s="4">
        <v>155</v>
      </c>
      <c r="I67">
        <v>2000</v>
      </c>
      <c r="J67">
        <v>2023</v>
      </c>
      <c r="K67" t="s">
        <v>21</v>
      </c>
      <c r="L67" t="s">
        <v>22</v>
      </c>
    </row>
    <row r="68" spans="1:12" x14ac:dyDescent="0.3">
      <c r="A68">
        <v>124</v>
      </c>
      <c r="B68" t="s">
        <v>23</v>
      </c>
      <c r="C68" t="s">
        <v>38</v>
      </c>
      <c r="D68" t="s">
        <v>49</v>
      </c>
      <c r="E68" s="1">
        <v>45076</v>
      </c>
      <c r="F68">
        <v>1</v>
      </c>
      <c r="G68">
        <v>337</v>
      </c>
      <c r="H68" s="4">
        <v>337</v>
      </c>
      <c r="I68">
        <v>2000</v>
      </c>
      <c r="J68">
        <v>2023</v>
      </c>
      <c r="K68" t="s">
        <v>21</v>
      </c>
      <c r="L68" t="s">
        <v>22</v>
      </c>
    </row>
    <row r="69" spans="1:12" x14ac:dyDescent="0.3">
      <c r="A69">
        <v>132</v>
      </c>
      <c r="B69" t="s">
        <v>23</v>
      </c>
      <c r="C69" t="s">
        <v>29</v>
      </c>
      <c r="D69" t="s">
        <v>33</v>
      </c>
      <c r="E69" s="1">
        <v>45069</v>
      </c>
      <c r="F69">
        <v>3</v>
      </c>
      <c r="G69">
        <v>699</v>
      </c>
      <c r="H69" s="4">
        <v>2097</v>
      </c>
      <c r="I69">
        <v>2500</v>
      </c>
      <c r="J69">
        <v>2023</v>
      </c>
      <c r="K69" t="s">
        <v>21</v>
      </c>
      <c r="L69" t="s">
        <v>22</v>
      </c>
    </row>
    <row r="70" spans="1:12" x14ac:dyDescent="0.3">
      <c r="A70">
        <v>164</v>
      </c>
      <c r="B70" t="s">
        <v>23</v>
      </c>
      <c r="C70" t="s">
        <v>35</v>
      </c>
      <c r="D70" t="s">
        <v>46</v>
      </c>
      <c r="E70" s="1">
        <v>45067</v>
      </c>
      <c r="F70">
        <v>1</v>
      </c>
      <c r="G70">
        <v>679</v>
      </c>
      <c r="H70" s="4">
        <v>679</v>
      </c>
      <c r="I70">
        <v>1000</v>
      </c>
      <c r="J70">
        <v>2023</v>
      </c>
      <c r="K70" t="s">
        <v>21</v>
      </c>
      <c r="L70" t="s">
        <v>22</v>
      </c>
    </row>
    <row r="71" spans="1:12" x14ac:dyDescent="0.3">
      <c r="A71">
        <v>165</v>
      </c>
      <c r="B71" t="s">
        <v>23</v>
      </c>
      <c r="C71" t="s">
        <v>24</v>
      </c>
      <c r="D71" t="s">
        <v>51</v>
      </c>
      <c r="E71" s="1">
        <v>45073</v>
      </c>
      <c r="F71">
        <v>4</v>
      </c>
      <c r="G71">
        <v>721</v>
      </c>
      <c r="H71" s="4">
        <v>2884</v>
      </c>
      <c r="I71">
        <v>2000</v>
      </c>
      <c r="J71">
        <v>2023</v>
      </c>
      <c r="K71" t="s">
        <v>21</v>
      </c>
      <c r="L71" t="s">
        <v>22</v>
      </c>
    </row>
    <row r="72" spans="1:12" x14ac:dyDescent="0.3">
      <c r="A72">
        <v>200</v>
      </c>
      <c r="B72" t="s">
        <v>28</v>
      </c>
      <c r="C72" t="s">
        <v>38</v>
      </c>
      <c r="D72" t="s">
        <v>41</v>
      </c>
      <c r="E72" s="1">
        <v>45074</v>
      </c>
      <c r="F72">
        <v>10</v>
      </c>
      <c r="G72">
        <v>419</v>
      </c>
      <c r="H72" s="4">
        <v>4190</v>
      </c>
      <c r="I72">
        <v>2000</v>
      </c>
      <c r="J72">
        <v>2023</v>
      </c>
      <c r="K72" t="s">
        <v>21</v>
      </c>
      <c r="L72" t="s">
        <v>22</v>
      </c>
    </row>
    <row r="73" spans="1:12" x14ac:dyDescent="0.3">
      <c r="A73">
        <v>6</v>
      </c>
      <c r="B73" t="s">
        <v>18</v>
      </c>
      <c r="C73" t="s">
        <v>38</v>
      </c>
      <c r="D73" t="s">
        <v>39</v>
      </c>
      <c r="E73" s="1">
        <v>45103</v>
      </c>
      <c r="F73">
        <v>10</v>
      </c>
      <c r="G73">
        <v>370</v>
      </c>
      <c r="H73" s="4">
        <v>3700</v>
      </c>
      <c r="I73">
        <v>1000</v>
      </c>
      <c r="J73">
        <v>2023</v>
      </c>
      <c r="K73" t="s">
        <v>21</v>
      </c>
      <c r="L73" t="s">
        <v>40</v>
      </c>
    </row>
    <row r="74" spans="1:12" x14ac:dyDescent="0.3">
      <c r="A74">
        <v>51</v>
      </c>
      <c r="B74" t="s">
        <v>34</v>
      </c>
      <c r="C74" t="s">
        <v>35</v>
      </c>
      <c r="D74" t="s">
        <v>54</v>
      </c>
      <c r="E74" s="1">
        <v>45102</v>
      </c>
      <c r="F74">
        <v>4</v>
      </c>
      <c r="G74">
        <v>803</v>
      </c>
      <c r="H74" s="4">
        <v>3212</v>
      </c>
      <c r="I74">
        <v>2000</v>
      </c>
      <c r="J74">
        <v>2023</v>
      </c>
      <c r="K74" t="s">
        <v>21</v>
      </c>
      <c r="L74" t="s">
        <v>40</v>
      </c>
    </row>
    <row r="75" spans="1:12" x14ac:dyDescent="0.3">
      <c r="A75">
        <v>53</v>
      </c>
      <c r="B75" t="s">
        <v>28</v>
      </c>
      <c r="C75" t="s">
        <v>35</v>
      </c>
      <c r="D75" t="s">
        <v>46</v>
      </c>
      <c r="E75" s="1">
        <v>45097</v>
      </c>
      <c r="F75">
        <v>3</v>
      </c>
      <c r="G75">
        <v>752</v>
      </c>
      <c r="H75" s="4">
        <v>2256</v>
      </c>
      <c r="I75">
        <v>2000</v>
      </c>
      <c r="J75">
        <v>2023</v>
      </c>
      <c r="K75" t="s">
        <v>21</v>
      </c>
      <c r="L75" t="s">
        <v>40</v>
      </c>
    </row>
    <row r="76" spans="1:12" x14ac:dyDescent="0.3">
      <c r="A76">
        <v>65</v>
      </c>
      <c r="B76" t="s">
        <v>18</v>
      </c>
      <c r="C76" t="s">
        <v>24</v>
      </c>
      <c r="D76" t="s">
        <v>44</v>
      </c>
      <c r="E76" s="1">
        <v>45087</v>
      </c>
      <c r="F76">
        <v>7</v>
      </c>
      <c r="G76">
        <v>720</v>
      </c>
      <c r="H76" s="4">
        <v>5040</v>
      </c>
      <c r="I76">
        <v>1000</v>
      </c>
      <c r="J76">
        <v>2023</v>
      </c>
      <c r="K76" t="s">
        <v>21</v>
      </c>
      <c r="L76" t="s">
        <v>40</v>
      </c>
    </row>
    <row r="77" spans="1:12" x14ac:dyDescent="0.3">
      <c r="A77">
        <v>68</v>
      </c>
      <c r="B77" t="s">
        <v>28</v>
      </c>
      <c r="C77" t="s">
        <v>24</v>
      </c>
      <c r="D77" t="s">
        <v>44</v>
      </c>
      <c r="E77" s="1">
        <v>45080</v>
      </c>
      <c r="F77">
        <v>9</v>
      </c>
      <c r="G77">
        <v>416</v>
      </c>
      <c r="H77" s="4">
        <v>3744</v>
      </c>
      <c r="I77">
        <v>2500</v>
      </c>
      <c r="J77">
        <v>2023</v>
      </c>
      <c r="K77" t="s">
        <v>21</v>
      </c>
      <c r="L77" t="s">
        <v>40</v>
      </c>
    </row>
    <row r="78" spans="1:12" x14ac:dyDescent="0.3">
      <c r="A78">
        <v>88</v>
      </c>
      <c r="B78" t="s">
        <v>23</v>
      </c>
      <c r="C78" t="s">
        <v>38</v>
      </c>
      <c r="D78" t="s">
        <v>39</v>
      </c>
      <c r="E78" s="1">
        <v>45099</v>
      </c>
      <c r="F78">
        <v>7</v>
      </c>
      <c r="G78">
        <v>841</v>
      </c>
      <c r="H78" s="4">
        <v>5887</v>
      </c>
      <c r="I78">
        <v>1500</v>
      </c>
      <c r="J78">
        <v>2023</v>
      </c>
      <c r="K78" t="s">
        <v>21</v>
      </c>
      <c r="L78" t="s">
        <v>40</v>
      </c>
    </row>
    <row r="79" spans="1:12" x14ac:dyDescent="0.3">
      <c r="A79">
        <v>103</v>
      </c>
      <c r="B79" t="s">
        <v>18</v>
      </c>
      <c r="C79" t="s">
        <v>38</v>
      </c>
      <c r="D79" t="s">
        <v>49</v>
      </c>
      <c r="E79" s="1">
        <v>45092</v>
      </c>
      <c r="F79">
        <v>4</v>
      </c>
      <c r="G79">
        <v>950</v>
      </c>
      <c r="H79" s="4">
        <v>3800</v>
      </c>
      <c r="I79">
        <v>1000</v>
      </c>
      <c r="J79">
        <v>2023</v>
      </c>
      <c r="K79" t="s">
        <v>21</v>
      </c>
      <c r="L79" t="s">
        <v>40</v>
      </c>
    </row>
    <row r="80" spans="1:12" x14ac:dyDescent="0.3">
      <c r="A80">
        <v>105</v>
      </c>
      <c r="B80" t="s">
        <v>23</v>
      </c>
      <c r="C80" t="s">
        <v>35</v>
      </c>
      <c r="D80" t="s">
        <v>46</v>
      </c>
      <c r="E80" s="1">
        <v>45093</v>
      </c>
      <c r="F80">
        <v>3</v>
      </c>
      <c r="G80">
        <v>599</v>
      </c>
      <c r="H80" s="4">
        <v>1797</v>
      </c>
      <c r="I80">
        <v>1500</v>
      </c>
      <c r="J80">
        <v>2023</v>
      </c>
      <c r="K80" t="s">
        <v>21</v>
      </c>
      <c r="L80" t="s">
        <v>40</v>
      </c>
    </row>
    <row r="81" spans="1:12" x14ac:dyDescent="0.3">
      <c r="A81">
        <v>111</v>
      </c>
      <c r="B81" t="s">
        <v>18</v>
      </c>
      <c r="C81" t="s">
        <v>38</v>
      </c>
      <c r="D81" t="s">
        <v>41</v>
      </c>
      <c r="E81" s="1">
        <v>45107</v>
      </c>
      <c r="F81">
        <v>8</v>
      </c>
      <c r="G81">
        <v>377</v>
      </c>
      <c r="H81" s="4">
        <v>3016</v>
      </c>
      <c r="I81">
        <v>2000</v>
      </c>
      <c r="J81">
        <v>2023</v>
      </c>
      <c r="K81" t="s">
        <v>21</v>
      </c>
      <c r="L81" t="s">
        <v>40</v>
      </c>
    </row>
    <row r="82" spans="1:12" x14ac:dyDescent="0.3">
      <c r="A82">
        <v>117</v>
      </c>
      <c r="B82" t="s">
        <v>23</v>
      </c>
      <c r="C82" t="s">
        <v>38</v>
      </c>
      <c r="D82" t="s">
        <v>49</v>
      </c>
      <c r="E82" s="1">
        <v>45101</v>
      </c>
      <c r="F82">
        <v>3</v>
      </c>
      <c r="G82">
        <v>152</v>
      </c>
      <c r="H82" s="4">
        <v>456</v>
      </c>
      <c r="I82">
        <v>2000</v>
      </c>
      <c r="J82">
        <v>2023</v>
      </c>
      <c r="K82" t="s">
        <v>21</v>
      </c>
      <c r="L82" t="s">
        <v>40</v>
      </c>
    </row>
    <row r="83" spans="1:12" x14ac:dyDescent="0.3">
      <c r="A83">
        <v>121</v>
      </c>
      <c r="B83" t="s">
        <v>23</v>
      </c>
      <c r="C83" t="s">
        <v>35</v>
      </c>
      <c r="D83" t="s">
        <v>54</v>
      </c>
      <c r="E83" s="1">
        <v>45083</v>
      </c>
      <c r="F83">
        <v>10</v>
      </c>
      <c r="G83">
        <v>735</v>
      </c>
      <c r="H83" s="4">
        <v>7350</v>
      </c>
      <c r="I83">
        <v>1000</v>
      </c>
      <c r="J83">
        <v>2023</v>
      </c>
      <c r="K83" t="s">
        <v>21</v>
      </c>
      <c r="L83" t="s">
        <v>40</v>
      </c>
    </row>
    <row r="84" spans="1:12" x14ac:dyDescent="0.3">
      <c r="A84">
        <v>127</v>
      </c>
      <c r="B84" t="s">
        <v>34</v>
      </c>
      <c r="C84" t="s">
        <v>19</v>
      </c>
      <c r="D84" t="s">
        <v>20</v>
      </c>
      <c r="E84" s="1">
        <v>45084</v>
      </c>
      <c r="F84">
        <v>10</v>
      </c>
      <c r="G84">
        <v>866</v>
      </c>
      <c r="H84" s="4">
        <v>8660</v>
      </c>
      <c r="I84">
        <v>2000</v>
      </c>
      <c r="J84">
        <v>2023</v>
      </c>
      <c r="K84" t="s">
        <v>21</v>
      </c>
      <c r="L84" t="s">
        <v>40</v>
      </c>
    </row>
    <row r="85" spans="1:12" x14ac:dyDescent="0.3">
      <c r="A85">
        <v>133</v>
      </c>
      <c r="B85" t="s">
        <v>23</v>
      </c>
      <c r="C85" t="s">
        <v>38</v>
      </c>
      <c r="D85" t="s">
        <v>39</v>
      </c>
      <c r="E85" s="1">
        <v>45105</v>
      </c>
      <c r="F85">
        <v>7</v>
      </c>
      <c r="G85">
        <v>441</v>
      </c>
      <c r="H85" s="4">
        <v>3087</v>
      </c>
      <c r="I85">
        <v>2000</v>
      </c>
      <c r="J85">
        <v>2023</v>
      </c>
      <c r="K85" t="s">
        <v>21</v>
      </c>
      <c r="L85" t="s">
        <v>40</v>
      </c>
    </row>
    <row r="86" spans="1:12" x14ac:dyDescent="0.3">
      <c r="A86">
        <v>144</v>
      </c>
      <c r="B86" t="s">
        <v>23</v>
      </c>
      <c r="C86" t="s">
        <v>19</v>
      </c>
      <c r="D86" t="s">
        <v>57</v>
      </c>
      <c r="E86" s="1">
        <v>45101</v>
      </c>
      <c r="F86">
        <v>9</v>
      </c>
      <c r="G86">
        <v>373</v>
      </c>
      <c r="H86" s="4">
        <v>3357</v>
      </c>
      <c r="I86">
        <v>1000</v>
      </c>
      <c r="J86">
        <v>2023</v>
      </c>
      <c r="K86" t="s">
        <v>21</v>
      </c>
      <c r="L86" t="s">
        <v>40</v>
      </c>
    </row>
    <row r="87" spans="1:12" x14ac:dyDescent="0.3">
      <c r="A87">
        <v>146</v>
      </c>
      <c r="B87" t="s">
        <v>23</v>
      </c>
      <c r="C87" t="s">
        <v>29</v>
      </c>
      <c r="D87" t="s">
        <v>33</v>
      </c>
      <c r="E87" s="1">
        <v>45103</v>
      </c>
      <c r="F87">
        <v>6</v>
      </c>
      <c r="G87">
        <v>665</v>
      </c>
      <c r="H87" s="4">
        <v>3990</v>
      </c>
      <c r="I87">
        <v>2500</v>
      </c>
      <c r="J87">
        <v>2023</v>
      </c>
      <c r="K87" t="s">
        <v>21</v>
      </c>
      <c r="L87" t="s">
        <v>40</v>
      </c>
    </row>
    <row r="88" spans="1:12" x14ac:dyDescent="0.3">
      <c r="A88">
        <v>148</v>
      </c>
      <c r="B88" t="s">
        <v>28</v>
      </c>
      <c r="C88" t="s">
        <v>29</v>
      </c>
      <c r="D88" t="s">
        <v>33</v>
      </c>
      <c r="E88" s="1">
        <v>45089</v>
      </c>
      <c r="F88">
        <v>8</v>
      </c>
      <c r="G88">
        <v>822</v>
      </c>
      <c r="H88" s="4">
        <v>6576</v>
      </c>
      <c r="I88">
        <v>2500</v>
      </c>
      <c r="J88">
        <v>2023</v>
      </c>
      <c r="K88" t="s">
        <v>21</v>
      </c>
      <c r="L88" t="s">
        <v>40</v>
      </c>
    </row>
    <row r="89" spans="1:12" x14ac:dyDescent="0.3">
      <c r="A89">
        <v>167</v>
      </c>
      <c r="B89" t="s">
        <v>28</v>
      </c>
      <c r="C89" t="s">
        <v>19</v>
      </c>
      <c r="D89" t="s">
        <v>48</v>
      </c>
      <c r="E89" s="1">
        <v>45085</v>
      </c>
      <c r="F89">
        <v>8</v>
      </c>
      <c r="G89">
        <v>134</v>
      </c>
      <c r="H89" s="4">
        <v>1072</v>
      </c>
      <c r="I89">
        <v>2000</v>
      </c>
      <c r="J89">
        <v>2023</v>
      </c>
      <c r="K89" t="s">
        <v>21</v>
      </c>
      <c r="L89" t="s">
        <v>40</v>
      </c>
    </row>
    <row r="90" spans="1:12" x14ac:dyDescent="0.3">
      <c r="A90">
        <v>168</v>
      </c>
      <c r="B90" t="s">
        <v>18</v>
      </c>
      <c r="C90" t="s">
        <v>29</v>
      </c>
      <c r="D90" t="s">
        <v>50</v>
      </c>
      <c r="E90" s="1">
        <v>45094</v>
      </c>
      <c r="F90">
        <v>7</v>
      </c>
      <c r="G90">
        <v>279</v>
      </c>
      <c r="H90" s="4">
        <v>1953</v>
      </c>
      <c r="I90">
        <v>1500</v>
      </c>
      <c r="J90">
        <v>2023</v>
      </c>
      <c r="K90" t="s">
        <v>21</v>
      </c>
      <c r="L90" t="s">
        <v>40</v>
      </c>
    </row>
    <row r="91" spans="1:12" x14ac:dyDescent="0.3">
      <c r="A91">
        <v>170</v>
      </c>
      <c r="B91" t="s">
        <v>18</v>
      </c>
      <c r="C91" t="s">
        <v>35</v>
      </c>
      <c r="D91" t="s">
        <v>36</v>
      </c>
      <c r="E91" s="1">
        <v>45100</v>
      </c>
      <c r="F91">
        <v>2</v>
      </c>
      <c r="G91">
        <v>579</v>
      </c>
      <c r="H91" s="4">
        <v>1158</v>
      </c>
      <c r="I91">
        <v>1000</v>
      </c>
      <c r="J91">
        <v>2023</v>
      </c>
      <c r="K91" t="s">
        <v>21</v>
      </c>
      <c r="L91" t="s">
        <v>40</v>
      </c>
    </row>
    <row r="92" spans="1:12" x14ac:dyDescent="0.3">
      <c r="A92">
        <v>184</v>
      </c>
      <c r="B92" t="s">
        <v>34</v>
      </c>
      <c r="C92" t="s">
        <v>24</v>
      </c>
      <c r="D92" t="s">
        <v>25</v>
      </c>
      <c r="E92" s="1">
        <v>45095</v>
      </c>
      <c r="F92">
        <v>3</v>
      </c>
      <c r="G92">
        <v>907</v>
      </c>
      <c r="H92" s="4">
        <v>2721</v>
      </c>
      <c r="I92">
        <v>1000</v>
      </c>
      <c r="J92">
        <v>2023</v>
      </c>
      <c r="K92" t="s">
        <v>21</v>
      </c>
      <c r="L92" t="s">
        <v>40</v>
      </c>
    </row>
    <row r="93" spans="1:12" x14ac:dyDescent="0.3">
      <c r="A93">
        <v>196</v>
      </c>
      <c r="B93" t="s">
        <v>28</v>
      </c>
      <c r="C93" t="s">
        <v>38</v>
      </c>
      <c r="D93" t="s">
        <v>49</v>
      </c>
      <c r="E93" s="1">
        <v>45087</v>
      </c>
      <c r="F93">
        <v>7</v>
      </c>
      <c r="G93">
        <v>420</v>
      </c>
      <c r="H93" s="4">
        <v>2940</v>
      </c>
      <c r="I93">
        <v>2000</v>
      </c>
      <c r="J93">
        <v>2023</v>
      </c>
      <c r="K93" t="s">
        <v>21</v>
      </c>
      <c r="L93" t="s">
        <v>40</v>
      </c>
    </row>
    <row r="94" spans="1:12" x14ac:dyDescent="0.3">
      <c r="A94">
        <v>7</v>
      </c>
      <c r="B94" t="s">
        <v>28</v>
      </c>
      <c r="C94" t="s">
        <v>38</v>
      </c>
      <c r="D94" t="s">
        <v>41</v>
      </c>
      <c r="E94" s="1">
        <v>45120</v>
      </c>
      <c r="F94">
        <v>2</v>
      </c>
      <c r="G94">
        <v>665</v>
      </c>
      <c r="H94" s="4">
        <v>1330</v>
      </c>
      <c r="I94">
        <v>2000</v>
      </c>
      <c r="J94">
        <v>2023</v>
      </c>
      <c r="K94" t="s">
        <v>42</v>
      </c>
      <c r="L94" t="s">
        <v>43</v>
      </c>
    </row>
    <row r="95" spans="1:12" x14ac:dyDescent="0.3">
      <c r="A95">
        <v>10</v>
      </c>
      <c r="B95" t="s">
        <v>18</v>
      </c>
      <c r="C95" t="s">
        <v>35</v>
      </c>
      <c r="D95" t="s">
        <v>46</v>
      </c>
      <c r="E95" s="1">
        <v>45108</v>
      </c>
      <c r="F95">
        <v>4</v>
      </c>
      <c r="G95">
        <v>786</v>
      </c>
      <c r="H95" s="4">
        <v>3144</v>
      </c>
      <c r="I95">
        <v>2000</v>
      </c>
      <c r="J95">
        <v>2023</v>
      </c>
      <c r="K95" t="s">
        <v>42</v>
      </c>
      <c r="L95" t="s">
        <v>43</v>
      </c>
    </row>
    <row r="96" spans="1:12" x14ac:dyDescent="0.3">
      <c r="A96">
        <v>13</v>
      </c>
      <c r="B96" t="s">
        <v>18</v>
      </c>
      <c r="C96" t="s">
        <v>29</v>
      </c>
      <c r="D96" t="s">
        <v>50</v>
      </c>
      <c r="E96" s="1">
        <v>45132</v>
      </c>
      <c r="F96">
        <v>5</v>
      </c>
      <c r="G96">
        <v>167</v>
      </c>
      <c r="H96" s="4">
        <v>835</v>
      </c>
      <c r="I96">
        <v>1500</v>
      </c>
      <c r="J96">
        <v>2023</v>
      </c>
      <c r="K96" t="s">
        <v>42</v>
      </c>
      <c r="L96" t="s">
        <v>43</v>
      </c>
    </row>
    <row r="97" spans="1:12" x14ac:dyDescent="0.3">
      <c r="A97">
        <v>16</v>
      </c>
      <c r="B97" t="s">
        <v>23</v>
      </c>
      <c r="C97" t="s">
        <v>24</v>
      </c>
      <c r="D97" t="s">
        <v>44</v>
      </c>
      <c r="E97" s="1">
        <v>45112</v>
      </c>
      <c r="F97">
        <v>4</v>
      </c>
      <c r="G97">
        <v>241</v>
      </c>
      <c r="H97" s="4">
        <v>964</v>
      </c>
      <c r="I97">
        <v>2500</v>
      </c>
      <c r="J97">
        <v>2023</v>
      </c>
      <c r="K97" t="s">
        <v>42</v>
      </c>
      <c r="L97" t="s">
        <v>43</v>
      </c>
    </row>
    <row r="98" spans="1:12" x14ac:dyDescent="0.3">
      <c r="A98">
        <v>18</v>
      </c>
      <c r="B98" t="s">
        <v>23</v>
      </c>
      <c r="C98" t="s">
        <v>24</v>
      </c>
      <c r="D98" t="s">
        <v>25</v>
      </c>
      <c r="E98" s="1">
        <v>45122</v>
      </c>
      <c r="F98">
        <v>10</v>
      </c>
      <c r="G98">
        <v>579</v>
      </c>
      <c r="H98" s="4">
        <v>5790</v>
      </c>
      <c r="I98">
        <v>2000</v>
      </c>
      <c r="J98">
        <v>2023</v>
      </c>
      <c r="K98" t="s">
        <v>42</v>
      </c>
      <c r="L98" t="s">
        <v>43</v>
      </c>
    </row>
    <row r="99" spans="1:12" x14ac:dyDescent="0.3">
      <c r="A99">
        <v>37</v>
      </c>
      <c r="B99" t="s">
        <v>34</v>
      </c>
      <c r="C99" t="s">
        <v>19</v>
      </c>
      <c r="D99" t="s">
        <v>20</v>
      </c>
      <c r="E99" s="1">
        <v>45135</v>
      </c>
      <c r="F99">
        <v>8</v>
      </c>
      <c r="G99">
        <v>592</v>
      </c>
      <c r="H99" s="4">
        <v>4736</v>
      </c>
      <c r="I99">
        <v>1500</v>
      </c>
      <c r="J99">
        <v>2023</v>
      </c>
      <c r="K99" t="s">
        <v>42</v>
      </c>
      <c r="L99" t="s">
        <v>43</v>
      </c>
    </row>
    <row r="100" spans="1:12" x14ac:dyDescent="0.3">
      <c r="A100">
        <v>38</v>
      </c>
      <c r="B100" t="s">
        <v>34</v>
      </c>
      <c r="C100" t="s">
        <v>38</v>
      </c>
      <c r="D100" t="s">
        <v>39</v>
      </c>
      <c r="E100" s="1">
        <v>45121</v>
      </c>
      <c r="F100">
        <v>1</v>
      </c>
      <c r="G100">
        <v>499</v>
      </c>
      <c r="H100" s="4">
        <v>499</v>
      </c>
      <c r="I100">
        <v>2000</v>
      </c>
      <c r="J100">
        <v>2023</v>
      </c>
      <c r="K100" t="s">
        <v>42</v>
      </c>
      <c r="L100" t="s">
        <v>43</v>
      </c>
    </row>
    <row r="101" spans="1:12" x14ac:dyDescent="0.3">
      <c r="A101">
        <v>62</v>
      </c>
      <c r="B101" t="s">
        <v>34</v>
      </c>
      <c r="C101" t="s">
        <v>29</v>
      </c>
      <c r="D101" t="s">
        <v>50</v>
      </c>
      <c r="E101" s="1">
        <v>45131</v>
      </c>
      <c r="F101">
        <v>6</v>
      </c>
      <c r="G101">
        <v>385</v>
      </c>
      <c r="H101" s="4">
        <v>2310</v>
      </c>
      <c r="I101">
        <v>1000</v>
      </c>
      <c r="J101">
        <v>2023</v>
      </c>
      <c r="K101" t="s">
        <v>42</v>
      </c>
      <c r="L101" t="s">
        <v>43</v>
      </c>
    </row>
    <row r="102" spans="1:12" x14ac:dyDescent="0.3">
      <c r="A102">
        <v>67</v>
      </c>
      <c r="B102" t="s">
        <v>34</v>
      </c>
      <c r="C102" t="s">
        <v>19</v>
      </c>
      <c r="D102" t="s">
        <v>48</v>
      </c>
      <c r="E102" s="1">
        <v>45113</v>
      </c>
      <c r="F102">
        <v>7</v>
      </c>
      <c r="G102">
        <v>171</v>
      </c>
      <c r="H102" s="4">
        <v>1197</v>
      </c>
      <c r="I102">
        <v>2000</v>
      </c>
      <c r="J102">
        <v>2023</v>
      </c>
      <c r="K102" t="s">
        <v>42</v>
      </c>
      <c r="L102" t="s">
        <v>43</v>
      </c>
    </row>
    <row r="103" spans="1:12" x14ac:dyDescent="0.3">
      <c r="A103">
        <v>84</v>
      </c>
      <c r="B103" t="s">
        <v>23</v>
      </c>
      <c r="C103" t="s">
        <v>29</v>
      </c>
      <c r="D103" t="s">
        <v>50</v>
      </c>
      <c r="E103" s="1">
        <v>45135</v>
      </c>
      <c r="F103">
        <v>6</v>
      </c>
      <c r="G103">
        <v>655</v>
      </c>
      <c r="H103" s="4">
        <v>3930</v>
      </c>
      <c r="I103">
        <v>2500</v>
      </c>
      <c r="J103">
        <v>2023</v>
      </c>
      <c r="K103" t="s">
        <v>42</v>
      </c>
      <c r="L103" t="s">
        <v>43</v>
      </c>
    </row>
    <row r="104" spans="1:12" x14ac:dyDescent="0.3">
      <c r="A104">
        <v>89</v>
      </c>
      <c r="B104" t="s">
        <v>28</v>
      </c>
      <c r="C104" t="s">
        <v>38</v>
      </c>
      <c r="D104" t="s">
        <v>39</v>
      </c>
      <c r="E104" s="1">
        <v>45128</v>
      </c>
      <c r="F104">
        <v>10</v>
      </c>
      <c r="G104">
        <v>677</v>
      </c>
      <c r="H104" s="4">
        <v>6770</v>
      </c>
      <c r="I104">
        <v>1000</v>
      </c>
      <c r="J104">
        <v>2023</v>
      </c>
      <c r="K104" t="s">
        <v>42</v>
      </c>
      <c r="L104" t="s">
        <v>43</v>
      </c>
    </row>
    <row r="105" spans="1:12" x14ac:dyDescent="0.3">
      <c r="A105">
        <v>97</v>
      </c>
      <c r="B105" t="s">
        <v>23</v>
      </c>
      <c r="C105" t="s">
        <v>35</v>
      </c>
      <c r="D105" t="s">
        <v>54</v>
      </c>
      <c r="E105" s="1">
        <v>45130</v>
      </c>
      <c r="F105">
        <v>4</v>
      </c>
      <c r="G105">
        <v>177</v>
      </c>
      <c r="H105" s="4">
        <v>708</v>
      </c>
      <c r="I105">
        <v>1500</v>
      </c>
      <c r="J105">
        <v>2023</v>
      </c>
      <c r="K105" t="s">
        <v>42</v>
      </c>
      <c r="L105" t="s">
        <v>43</v>
      </c>
    </row>
    <row r="106" spans="1:12" x14ac:dyDescent="0.3">
      <c r="A106">
        <v>118</v>
      </c>
      <c r="B106" t="s">
        <v>28</v>
      </c>
      <c r="C106" t="s">
        <v>38</v>
      </c>
      <c r="D106" t="s">
        <v>39</v>
      </c>
      <c r="E106" s="1">
        <v>45132</v>
      </c>
      <c r="F106">
        <v>8</v>
      </c>
      <c r="G106">
        <v>175</v>
      </c>
      <c r="H106" s="4">
        <v>1400</v>
      </c>
      <c r="I106">
        <v>1000</v>
      </c>
      <c r="J106">
        <v>2023</v>
      </c>
      <c r="K106" t="s">
        <v>42</v>
      </c>
      <c r="L106" t="s">
        <v>43</v>
      </c>
    </row>
    <row r="107" spans="1:12" x14ac:dyDescent="0.3">
      <c r="A107">
        <v>134</v>
      </c>
      <c r="B107" t="s">
        <v>18</v>
      </c>
      <c r="C107" t="s">
        <v>19</v>
      </c>
      <c r="D107" t="s">
        <v>20</v>
      </c>
      <c r="E107" s="1">
        <v>45137</v>
      </c>
      <c r="F107">
        <v>8</v>
      </c>
      <c r="G107">
        <v>395</v>
      </c>
      <c r="H107" s="4">
        <v>3160</v>
      </c>
      <c r="I107">
        <v>2500</v>
      </c>
      <c r="J107">
        <v>2023</v>
      </c>
      <c r="K107" t="s">
        <v>42</v>
      </c>
      <c r="L107" t="s">
        <v>43</v>
      </c>
    </row>
    <row r="108" spans="1:12" x14ac:dyDescent="0.3">
      <c r="A108">
        <v>143</v>
      </c>
      <c r="B108" t="s">
        <v>34</v>
      </c>
      <c r="C108" t="s">
        <v>38</v>
      </c>
      <c r="D108" t="s">
        <v>41</v>
      </c>
      <c r="E108" s="1">
        <v>45123</v>
      </c>
      <c r="F108">
        <v>4</v>
      </c>
      <c r="G108">
        <v>713</v>
      </c>
      <c r="H108" s="4">
        <v>2852</v>
      </c>
      <c r="I108">
        <v>1500</v>
      </c>
      <c r="J108">
        <v>2023</v>
      </c>
      <c r="K108" t="s">
        <v>42</v>
      </c>
      <c r="L108" t="s">
        <v>43</v>
      </c>
    </row>
    <row r="109" spans="1:12" x14ac:dyDescent="0.3">
      <c r="A109">
        <v>195</v>
      </c>
      <c r="B109" t="s">
        <v>34</v>
      </c>
      <c r="C109" t="s">
        <v>38</v>
      </c>
      <c r="D109" t="s">
        <v>49</v>
      </c>
      <c r="E109" s="1">
        <v>45138</v>
      </c>
      <c r="F109">
        <v>6</v>
      </c>
      <c r="G109">
        <v>947</v>
      </c>
      <c r="H109" s="4">
        <v>5682</v>
      </c>
      <c r="I109">
        <v>2500</v>
      </c>
      <c r="J109">
        <v>2023</v>
      </c>
      <c r="K109" t="s">
        <v>42</v>
      </c>
      <c r="L109" t="s">
        <v>43</v>
      </c>
    </row>
    <row r="110" spans="1:12" x14ac:dyDescent="0.3">
      <c r="A110">
        <v>198</v>
      </c>
      <c r="B110" t="s">
        <v>28</v>
      </c>
      <c r="C110" t="s">
        <v>19</v>
      </c>
      <c r="D110" t="s">
        <v>57</v>
      </c>
      <c r="E110" s="1">
        <v>45117</v>
      </c>
      <c r="F110">
        <v>3</v>
      </c>
      <c r="G110">
        <v>669</v>
      </c>
      <c r="H110" s="4">
        <v>2007</v>
      </c>
      <c r="I110">
        <v>1000</v>
      </c>
      <c r="J110">
        <v>2023</v>
      </c>
      <c r="K110" t="s">
        <v>42</v>
      </c>
      <c r="L110" t="s">
        <v>43</v>
      </c>
    </row>
    <row r="111" spans="1:12" x14ac:dyDescent="0.3">
      <c r="A111">
        <v>20</v>
      </c>
      <c r="B111" t="s">
        <v>18</v>
      </c>
      <c r="C111" t="s">
        <v>35</v>
      </c>
      <c r="D111" t="s">
        <v>46</v>
      </c>
      <c r="E111" s="1">
        <v>45149</v>
      </c>
      <c r="F111">
        <v>3</v>
      </c>
      <c r="G111">
        <v>564</v>
      </c>
      <c r="H111" s="4">
        <v>1692</v>
      </c>
      <c r="I111">
        <v>1000</v>
      </c>
      <c r="J111">
        <v>2023</v>
      </c>
      <c r="K111" t="s">
        <v>42</v>
      </c>
      <c r="L111" t="s">
        <v>53</v>
      </c>
    </row>
    <row r="112" spans="1:12" x14ac:dyDescent="0.3">
      <c r="A112">
        <v>33</v>
      </c>
      <c r="B112" t="s">
        <v>23</v>
      </c>
      <c r="C112" t="s">
        <v>35</v>
      </c>
      <c r="D112" t="s">
        <v>36</v>
      </c>
      <c r="E112" s="1">
        <v>45166</v>
      </c>
      <c r="F112">
        <v>1</v>
      </c>
      <c r="G112">
        <v>789</v>
      </c>
      <c r="H112" s="4">
        <v>789</v>
      </c>
      <c r="I112">
        <v>1000</v>
      </c>
      <c r="J112">
        <v>2023</v>
      </c>
      <c r="K112" t="s">
        <v>42</v>
      </c>
      <c r="L112" t="s">
        <v>53</v>
      </c>
    </row>
    <row r="113" spans="1:12" x14ac:dyDescent="0.3">
      <c r="A113">
        <v>35</v>
      </c>
      <c r="B113" t="s">
        <v>34</v>
      </c>
      <c r="C113" t="s">
        <v>24</v>
      </c>
      <c r="D113" t="s">
        <v>44</v>
      </c>
      <c r="E113" s="1">
        <v>45143</v>
      </c>
      <c r="F113">
        <v>3</v>
      </c>
      <c r="G113">
        <v>385</v>
      </c>
      <c r="H113" s="4">
        <v>1155</v>
      </c>
      <c r="I113">
        <v>2500</v>
      </c>
      <c r="J113">
        <v>2023</v>
      </c>
      <c r="K113" t="s">
        <v>42</v>
      </c>
      <c r="L113" t="s">
        <v>53</v>
      </c>
    </row>
    <row r="114" spans="1:12" x14ac:dyDescent="0.3">
      <c r="A114">
        <v>56</v>
      </c>
      <c r="B114" t="s">
        <v>34</v>
      </c>
      <c r="C114" t="s">
        <v>24</v>
      </c>
      <c r="D114" t="s">
        <v>51</v>
      </c>
      <c r="E114" s="1">
        <v>45147</v>
      </c>
      <c r="F114">
        <v>3</v>
      </c>
      <c r="G114">
        <v>142</v>
      </c>
      <c r="H114" s="4">
        <v>426</v>
      </c>
      <c r="I114">
        <v>2000</v>
      </c>
      <c r="J114">
        <v>2023</v>
      </c>
      <c r="K114" t="s">
        <v>42</v>
      </c>
      <c r="L114" t="s">
        <v>53</v>
      </c>
    </row>
    <row r="115" spans="1:12" x14ac:dyDescent="0.3">
      <c r="A115">
        <v>61</v>
      </c>
      <c r="B115" t="s">
        <v>34</v>
      </c>
      <c r="C115" t="s">
        <v>38</v>
      </c>
      <c r="D115" t="s">
        <v>39</v>
      </c>
      <c r="E115" s="1">
        <v>45162</v>
      </c>
      <c r="F115">
        <v>6</v>
      </c>
      <c r="G115">
        <v>412</v>
      </c>
      <c r="H115" s="4">
        <v>2472</v>
      </c>
      <c r="I115">
        <v>1500</v>
      </c>
      <c r="J115">
        <v>2023</v>
      </c>
      <c r="K115" t="s">
        <v>42</v>
      </c>
      <c r="L115" t="s">
        <v>53</v>
      </c>
    </row>
    <row r="116" spans="1:12" x14ac:dyDescent="0.3">
      <c r="A116">
        <v>79</v>
      </c>
      <c r="B116" t="s">
        <v>18</v>
      </c>
      <c r="C116" t="s">
        <v>24</v>
      </c>
      <c r="D116" t="s">
        <v>51</v>
      </c>
      <c r="E116" s="1">
        <v>45153</v>
      </c>
      <c r="F116">
        <v>10</v>
      </c>
      <c r="G116">
        <v>934</v>
      </c>
      <c r="H116" s="4">
        <v>9340</v>
      </c>
      <c r="I116">
        <v>2500</v>
      </c>
      <c r="J116">
        <v>2023</v>
      </c>
      <c r="K116" t="s">
        <v>42</v>
      </c>
      <c r="L116" t="s">
        <v>53</v>
      </c>
    </row>
    <row r="117" spans="1:12" x14ac:dyDescent="0.3">
      <c r="A117">
        <v>85</v>
      </c>
      <c r="B117" t="s">
        <v>34</v>
      </c>
      <c r="C117" t="s">
        <v>38</v>
      </c>
      <c r="D117" t="s">
        <v>39</v>
      </c>
      <c r="E117" s="1">
        <v>45142</v>
      </c>
      <c r="F117">
        <v>7</v>
      </c>
      <c r="G117">
        <v>888</v>
      </c>
      <c r="H117" s="4">
        <v>6216</v>
      </c>
      <c r="I117">
        <v>1000</v>
      </c>
      <c r="J117">
        <v>2023</v>
      </c>
      <c r="K117" t="s">
        <v>42</v>
      </c>
      <c r="L117" t="s">
        <v>53</v>
      </c>
    </row>
    <row r="118" spans="1:12" x14ac:dyDescent="0.3">
      <c r="A118">
        <v>104</v>
      </c>
      <c r="B118" t="s">
        <v>34</v>
      </c>
      <c r="C118" t="s">
        <v>35</v>
      </c>
      <c r="D118" t="s">
        <v>36</v>
      </c>
      <c r="E118" s="1">
        <v>45164</v>
      </c>
      <c r="F118">
        <v>10</v>
      </c>
      <c r="G118">
        <v>724</v>
      </c>
      <c r="H118" s="4">
        <v>7240</v>
      </c>
      <c r="I118">
        <v>2500</v>
      </c>
      <c r="J118">
        <v>2023</v>
      </c>
      <c r="K118" t="s">
        <v>42</v>
      </c>
      <c r="L118" t="s">
        <v>53</v>
      </c>
    </row>
    <row r="119" spans="1:12" x14ac:dyDescent="0.3">
      <c r="A119">
        <v>110</v>
      </c>
      <c r="B119" t="s">
        <v>18</v>
      </c>
      <c r="C119" t="s">
        <v>35</v>
      </c>
      <c r="D119" t="s">
        <v>54</v>
      </c>
      <c r="E119" s="1">
        <v>45169</v>
      </c>
      <c r="F119">
        <v>9</v>
      </c>
      <c r="G119">
        <v>643</v>
      </c>
      <c r="H119" s="4">
        <v>5787</v>
      </c>
      <c r="I119">
        <v>2000</v>
      </c>
      <c r="J119">
        <v>2023</v>
      </c>
      <c r="K119" t="s">
        <v>42</v>
      </c>
      <c r="L119" t="s">
        <v>53</v>
      </c>
    </row>
    <row r="120" spans="1:12" x14ac:dyDescent="0.3">
      <c r="A120">
        <v>129</v>
      </c>
      <c r="B120" t="s">
        <v>23</v>
      </c>
      <c r="C120" t="s">
        <v>35</v>
      </c>
      <c r="D120" t="s">
        <v>54</v>
      </c>
      <c r="E120" s="1">
        <v>45151</v>
      </c>
      <c r="F120">
        <v>2</v>
      </c>
      <c r="G120">
        <v>712</v>
      </c>
      <c r="H120" s="4">
        <v>1424</v>
      </c>
      <c r="I120">
        <v>1000</v>
      </c>
      <c r="J120">
        <v>2023</v>
      </c>
      <c r="K120" t="s">
        <v>42</v>
      </c>
      <c r="L120" t="s">
        <v>53</v>
      </c>
    </row>
    <row r="121" spans="1:12" x14ac:dyDescent="0.3">
      <c r="A121">
        <v>142</v>
      </c>
      <c r="B121" t="s">
        <v>18</v>
      </c>
      <c r="C121" t="s">
        <v>24</v>
      </c>
      <c r="D121" t="s">
        <v>51</v>
      </c>
      <c r="E121" s="1">
        <v>45139</v>
      </c>
      <c r="F121">
        <v>8</v>
      </c>
      <c r="G121">
        <v>583</v>
      </c>
      <c r="H121" s="4">
        <v>4664</v>
      </c>
      <c r="I121">
        <v>1500</v>
      </c>
      <c r="J121">
        <v>2023</v>
      </c>
      <c r="K121" t="s">
        <v>42</v>
      </c>
      <c r="L121" t="s">
        <v>53</v>
      </c>
    </row>
    <row r="122" spans="1:12" x14ac:dyDescent="0.3">
      <c r="A122">
        <v>155</v>
      </c>
      <c r="B122" t="s">
        <v>28</v>
      </c>
      <c r="C122" t="s">
        <v>38</v>
      </c>
      <c r="D122" t="s">
        <v>39</v>
      </c>
      <c r="E122" s="1">
        <v>45154</v>
      </c>
      <c r="F122">
        <v>3</v>
      </c>
      <c r="G122">
        <v>810</v>
      </c>
      <c r="H122" s="4">
        <v>2430</v>
      </c>
      <c r="I122">
        <v>2000</v>
      </c>
      <c r="J122">
        <v>2023</v>
      </c>
      <c r="K122" t="s">
        <v>42</v>
      </c>
      <c r="L122" t="s">
        <v>53</v>
      </c>
    </row>
    <row r="123" spans="1:12" x14ac:dyDescent="0.3">
      <c r="A123">
        <v>160</v>
      </c>
      <c r="B123" t="s">
        <v>28</v>
      </c>
      <c r="C123" t="s">
        <v>38</v>
      </c>
      <c r="D123" t="s">
        <v>49</v>
      </c>
      <c r="E123" s="1">
        <v>45165</v>
      </c>
      <c r="F123">
        <v>5</v>
      </c>
      <c r="G123">
        <v>793</v>
      </c>
      <c r="H123" s="4">
        <v>3965</v>
      </c>
      <c r="I123">
        <v>1500</v>
      </c>
      <c r="J123">
        <v>2023</v>
      </c>
      <c r="K123" t="s">
        <v>42</v>
      </c>
      <c r="L123" t="s">
        <v>53</v>
      </c>
    </row>
    <row r="124" spans="1:12" x14ac:dyDescent="0.3">
      <c r="A124">
        <v>172</v>
      </c>
      <c r="B124" t="s">
        <v>28</v>
      </c>
      <c r="C124" t="s">
        <v>19</v>
      </c>
      <c r="D124" t="s">
        <v>57</v>
      </c>
      <c r="E124" s="1">
        <v>45159</v>
      </c>
      <c r="F124">
        <v>6</v>
      </c>
      <c r="G124">
        <v>788</v>
      </c>
      <c r="H124" s="4">
        <v>4728</v>
      </c>
      <c r="I124">
        <v>2000</v>
      </c>
      <c r="J124">
        <v>2023</v>
      </c>
      <c r="K124" t="s">
        <v>42</v>
      </c>
      <c r="L124" t="s">
        <v>53</v>
      </c>
    </row>
    <row r="125" spans="1:12" x14ac:dyDescent="0.3">
      <c r="A125">
        <v>177</v>
      </c>
      <c r="B125" t="s">
        <v>23</v>
      </c>
      <c r="C125" t="s">
        <v>24</v>
      </c>
      <c r="D125" t="s">
        <v>25</v>
      </c>
      <c r="E125" s="1">
        <v>45159</v>
      </c>
      <c r="F125">
        <v>6</v>
      </c>
      <c r="G125">
        <v>786</v>
      </c>
      <c r="H125" s="4">
        <v>4716</v>
      </c>
      <c r="I125">
        <v>2500</v>
      </c>
      <c r="J125">
        <v>2023</v>
      </c>
      <c r="K125" t="s">
        <v>42</v>
      </c>
      <c r="L125" t="s">
        <v>53</v>
      </c>
    </row>
    <row r="126" spans="1:12" x14ac:dyDescent="0.3">
      <c r="A126">
        <v>178</v>
      </c>
      <c r="B126" t="s">
        <v>34</v>
      </c>
      <c r="C126" t="s">
        <v>24</v>
      </c>
      <c r="D126" t="s">
        <v>51</v>
      </c>
      <c r="E126" s="1">
        <v>45139</v>
      </c>
      <c r="F126">
        <v>2</v>
      </c>
      <c r="G126">
        <v>953</v>
      </c>
      <c r="H126" s="4">
        <v>1906</v>
      </c>
      <c r="I126">
        <v>2500</v>
      </c>
      <c r="J126">
        <v>2023</v>
      </c>
      <c r="K126" t="s">
        <v>42</v>
      </c>
      <c r="L126" t="s">
        <v>53</v>
      </c>
    </row>
    <row r="127" spans="1:12" x14ac:dyDescent="0.3">
      <c r="A127">
        <v>189</v>
      </c>
      <c r="B127" t="s">
        <v>28</v>
      </c>
      <c r="C127" t="s">
        <v>24</v>
      </c>
      <c r="D127" t="s">
        <v>51</v>
      </c>
      <c r="E127" s="1">
        <v>45158</v>
      </c>
      <c r="F127">
        <v>9</v>
      </c>
      <c r="G127">
        <v>326</v>
      </c>
      <c r="H127" s="4">
        <v>2934</v>
      </c>
      <c r="I127">
        <v>1000</v>
      </c>
      <c r="J127">
        <v>2023</v>
      </c>
      <c r="K127" t="s">
        <v>42</v>
      </c>
      <c r="L127" t="s">
        <v>53</v>
      </c>
    </row>
    <row r="128" spans="1:12" x14ac:dyDescent="0.3">
      <c r="A128">
        <v>193</v>
      </c>
      <c r="B128" t="s">
        <v>18</v>
      </c>
      <c r="C128" t="s">
        <v>38</v>
      </c>
      <c r="D128" t="s">
        <v>41</v>
      </c>
      <c r="E128" s="1">
        <v>45159</v>
      </c>
      <c r="F128">
        <v>9</v>
      </c>
      <c r="G128">
        <v>719</v>
      </c>
      <c r="H128" s="4">
        <v>6471</v>
      </c>
      <c r="I128">
        <v>2500</v>
      </c>
      <c r="J128">
        <v>2023</v>
      </c>
      <c r="K128" t="s">
        <v>42</v>
      </c>
      <c r="L128" t="s">
        <v>53</v>
      </c>
    </row>
    <row r="129" spans="1:18" x14ac:dyDescent="0.3">
      <c r="A129">
        <v>21</v>
      </c>
      <c r="B129" t="s">
        <v>34</v>
      </c>
      <c r="C129" t="s">
        <v>35</v>
      </c>
      <c r="D129" t="s">
        <v>54</v>
      </c>
      <c r="E129" s="1">
        <v>45186</v>
      </c>
      <c r="F129">
        <v>2</v>
      </c>
      <c r="G129">
        <v>991</v>
      </c>
      <c r="H129" s="4">
        <v>1982</v>
      </c>
      <c r="I129">
        <v>2000</v>
      </c>
      <c r="J129">
        <v>2023</v>
      </c>
      <c r="K129" t="s">
        <v>42</v>
      </c>
      <c r="L129" t="s">
        <v>55</v>
      </c>
    </row>
    <row r="130" spans="1:18" x14ac:dyDescent="0.3">
      <c r="A130">
        <v>47</v>
      </c>
      <c r="B130" t="s">
        <v>34</v>
      </c>
      <c r="C130" t="s">
        <v>19</v>
      </c>
      <c r="D130" t="s">
        <v>48</v>
      </c>
      <c r="E130" s="1">
        <v>45186</v>
      </c>
      <c r="F130">
        <v>5</v>
      </c>
      <c r="G130">
        <v>235</v>
      </c>
      <c r="H130" s="4">
        <v>1175</v>
      </c>
      <c r="I130">
        <v>2000</v>
      </c>
      <c r="J130">
        <v>2023</v>
      </c>
      <c r="K130" t="s">
        <v>42</v>
      </c>
      <c r="L130" t="s">
        <v>55</v>
      </c>
    </row>
    <row r="131" spans="1:18" x14ac:dyDescent="0.3">
      <c r="A131">
        <v>76</v>
      </c>
      <c r="B131" t="s">
        <v>23</v>
      </c>
      <c r="C131" t="s">
        <v>24</v>
      </c>
      <c r="D131" t="s">
        <v>25</v>
      </c>
      <c r="E131" s="1">
        <v>45180</v>
      </c>
      <c r="F131">
        <v>7</v>
      </c>
      <c r="G131">
        <v>349</v>
      </c>
      <c r="H131" s="4">
        <v>2443</v>
      </c>
      <c r="I131">
        <v>1500</v>
      </c>
      <c r="J131">
        <v>2023</v>
      </c>
      <c r="K131" t="s">
        <v>42</v>
      </c>
      <c r="L131" t="s">
        <v>55</v>
      </c>
    </row>
    <row r="132" spans="1:18" x14ac:dyDescent="0.3">
      <c r="A132">
        <v>80</v>
      </c>
      <c r="B132" t="s">
        <v>34</v>
      </c>
      <c r="C132" t="s">
        <v>24</v>
      </c>
      <c r="D132" t="s">
        <v>44</v>
      </c>
      <c r="E132" s="1">
        <v>45170</v>
      </c>
      <c r="F132">
        <v>8</v>
      </c>
      <c r="G132">
        <v>365</v>
      </c>
      <c r="H132" s="4">
        <v>2920</v>
      </c>
      <c r="I132">
        <v>1500</v>
      </c>
      <c r="J132">
        <v>2023</v>
      </c>
      <c r="K132" t="s">
        <v>42</v>
      </c>
      <c r="L132" t="s">
        <v>55</v>
      </c>
    </row>
    <row r="133" spans="1:18" x14ac:dyDescent="0.3">
      <c r="A133">
        <v>87</v>
      </c>
      <c r="B133" t="s">
        <v>34</v>
      </c>
      <c r="C133" t="s">
        <v>38</v>
      </c>
      <c r="D133" t="s">
        <v>41</v>
      </c>
      <c r="E133" s="1">
        <v>45176</v>
      </c>
      <c r="F133">
        <v>4</v>
      </c>
      <c r="G133">
        <v>379</v>
      </c>
      <c r="H133" s="4">
        <v>1516</v>
      </c>
      <c r="I133">
        <v>2500</v>
      </c>
      <c r="J133">
        <v>2023</v>
      </c>
      <c r="K133" t="s">
        <v>42</v>
      </c>
      <c r="L133" t="s">
        <v>55</v>
      </c>
    </row>
    <row r="134" spans="1:18" x14ac:dyDescent="0.3">
      <c r="A134">
        <v>99</v>
      </c>
      <c r="B134" t="s">
        <v>18</v>
      </c>
      <c r="C134" t="s">
        <v>24</v>
      </c>
      <c r="D134" t="s">
        <v>25</v>
      </c>
      <c r="E134" s="1">
        <v>45199</v>
      </c>
      <c r="F134">
        <v>7</v>
      </c>
      <c r="G134">
        <v>777</v>
      </c>
      <c r="H134" s="4">
        <v>5439</v>
      </c>
      <c r="I134">
        <v>2000</v>
      </c>
      <c r="J134">
        <v>2023</v>
      </c>
      <c r="K134" t="s">
        <v>42</v>
      </c>
      <c r="L134" t="s">
        <v>55</v>
      </c>
    </row>
    <row r="135" spans="1:18" x14ac:dyDescent="0.3">
      <c r="A135">
        <v>120</v>
      </c>
      <c r="B135" t="s">
        <v>34</v>
      </c>
      <c r="C135" t="s">
        <v>24</v>
      </c>
      <c r="D135" t="s">
        <v>51</v>
      </c>
      <c r="E135" s="1">
        <v>45194</v>
      </c>
      <c r="F135">
        <v>7</v>
      </c>
      <c r="G135">
        <v>561</v>
      </c>
      <c r="H135" s="4">
        <v>3927</v>
      </c>
      <c r="I135">
        <v>2500</v>
      </c>
      <c r="J135">
        <v>2023</v>
      </c>
      <c r="K135" t="s">
        <v>42</v>
      </c>
      <c r="L135" t="s">
        <v>55</v>
      </c>
    </row>
    <row r="136" spans="1:18" x14ac:dyDescent="0.3">
      <c r="A136">
        <v>149</v>
      </c>
      <c r="B136" t="s">
        <v>34</v>
      </c>
      <c r="C136" t="s">
        <v>38</v>
      </c>
      <c r="D136" t="s">
        <v>41</v>
      </c>
      <c r="E136" s="1">
        <v>45180</v>
      </c>
      <c r="F136">
        <v>1</v>
      </c>
      <c r="G136">
        <v>229</v>
      </c>
      <c r="H136" s="4">
        <v>229</v>
      </c>
      <c r="I136">
        <v>2000</v>
      </c>
      <c r="J136">
        <v>2023</v>
      </c>
      <c r="K136" t="s">
        <v>42</v>
      </c>
      <c r="L136" t="s">
        <v>55</v>
      </c>
    </row>
    <row r="137" spans="1:18" x14ac:dyDescent="0.3">
      <c r="A137">
        <v>150</v>
      </c>
      <c r="B137" t="s">
        <v>28</v>
      </c>
      <c r="C137" t="s">
        <v>19</v>
      </c>
      <c r="D137" t="s">
        <v>57</v>
      </c>
      <c r="E137" s="1">
        <v>45196</v>
      </c>
      <c r="F137">
        <v>8</v>
      </c>
      <c r="G137">
        <v>115</v>
      </c>
      <c r="H137" s="4">
        <v>920</v>
      </c>
      <c r="I137">
        <v>1500</v>
      </c>
      <c r="J137">
        <v>2023</v>
      </c>
      <c r="K137" t="s">
        <v>42</v>
      </c>
      <c r="L137" t="s">
        <v>55</v>
      </c>
    </row>
    <row r="138" spans="1:18" x14ac:dyDescent="0.3">
      <c r="A138">
        <v>157</v>
      </c>
      <c r="B138" t="s">
        <v>34</v>
      </c>
      <c r="C138" t="s">
        <v>38</v>
      </c>
      <c r="D138" t="s">
        <v>39</v>
      </c>
      <c r="E138" s="1">
        <v>45198</v>
      </c>
      <c r="F138">
        <v>7</v>
      </c>
      <c r="G138">
        <v>679</v>
      </c>
      <c r="H138" s="4">
        <v>4753</v>
      </c>
      <c r="I138">
        <v>1500</v>
      </c>
      <c r="J138">
        <v>2023</v>
      </c>
      <c r="K138" t="s">
        <v>42</v>
      </c>
      <c r="L138" t="s">
        <v>55</v>
      </c>
    </row>
    <row r="139" spans="1:18" x14ac:dyDescent="0.3">
      <c r="A139">
        <v>169</v>
      </c>
      <c r="B139" t="s">
        <v>18</v>
      </c>
      <c r="C139" t="s">
        <v>29</v>
      </c>
      <c r="D139" t="s">
        <v>30</v>
      </c>
      <c r="E139" s="1">
        <v>45198</v>
      </c>
      <c r="F139">
        <v>9</v>
      </c>
      <c r="G139">
        <v>379</v>
      </c>
      <c r="H139" s="4">
        <v>3411</v>
      </c>
      <c r="I139">
        <v>1500</v>
      </c>
      <c r="J139">
        <v>2023</v>
      </c>
      <c r="K139" t="s">
        <v>42</v>
      </c>
      <c r="L139" t="s">
        <v>55</v>
      </c>
    </row>
    <row r="140" spans="1:18" x14ac:dyDescent="0.3">
      <c r="A140">
        <v>176</v>
      </c>
      <c r="B140" t="s">
        <v>18</v>
      </c>
      <c r="C140" t="s">
        <v>19</v>
      </c>
      <c r="D140" t="s">
        <v>20</v>
      </c>
      <c r="E140" s="1">
        <v>45179</v>
      </c>
      <c r="F140">
        <v>2</v>
      </c>
      <c r="G140">
        <v>199</v>
      </c>
      <c r="H140" s="4">
        <v>398</v>
      </c>
      <c r="I140">
        <v>1500</v>
      </c>
      <c r="J140">
        <v>2023</v>
      </c>
      <c r="K140" t="s">
        <v>42</v>
      </c>
      <c r="L140" t="s">
        <v>55</v>
      </c>
    </row>
    <row r="141" spans="1:18" x14ac:dyDescent="0.3">
      <c r="A141">
        <v>191</v>
      </c>
      <c r="B141" t="s">
        <v>28</v>
      </c>
      <c r="C141" t="s">
        <v>38</v>
      </c>
      <c r="D141" t="s">
        <v>49</v>
      </c>
      <c r="E141" s="1">
        <v>45178</v>
      </c>
      <c r="F141">
        <v>8</v>
      </c>
      <c r="G141">
        <v>175</v>
      </c>
      <c r="H141" s="4">
        <v>1400</v>
      </c>
      <c r="I141">
        <v>1000</v>
      </c>
      <c r="J141">
        <v>2023</v>
      </c>
      <c r="K141" t="s">
        <v>42</v>
      </c>
      <c r="L141" t="s">
        <v>55</v>
      </c>
    </row>
    <row r="142" spans="1:18" x14ac:dyDescent="0.3">
      <c r="A142">
        <v>3</v>
      </c>
      <c r="B142" t="s">
        <v>28</v>
      </c>
      <c r="C142" t="s">
        <v>29</v>
      </c>
      <c r="D142" t="s">
        <v>30</v>
      </c>
      <c r="E142" s="1">
        <v>45214</v>
      </c>
      <c r="F142">
        <v>4</v>
      </c>
      <c r="G142">
        <v>833</v>
      </c>
      <c r="H142" s="4">
        <v>3332</v>
      </c>
      <c r="I142">
        <v>2500</v>
      </c>
      <c r="J142">
        <v>2023</v>
      </c>
      <c r="K142" t="s">
        <v>31</v>
      </c>
      <c r="L142" t="s">
        <v>32</v>
      </c>
      <c r="R142" t="s">
        <v>6</v>
      </c>
    </row>
    <row r="143" spans="1:18" x14ac:dyDescent="0.3">
      <c r="A143">
        <v>11</v>
      </c>
      <c r="B143" t="s">
        <v>34</v>
      </c>
      <c r="C143" t="s">
        <v>19</v>
      </c>
      <c r="D143" t="s">
        <v>48</v>
      </c>
      <c r="E143" s="1">
        <v>45200</v>
      </c>
      <c r="F143">
        <v>4</v>
      </c>
      <c r="G143">
        <v>267</v>
      </c>
      <c r="H143" s="4">
        <v>1068</v>
      </c>
      <c r="I143">
        <v>2500</v>
      </c>
      <c r="J143">
        <v>2023</v>
      </c>
      <c r="K143" t="s">
        <v>31</v>
      </c>
      <c r="L143" t="s">
        <v>32</v>
      </c>
    </row>
    <row r="144" spans="1:18" x14ac:dyDescent="0.3">
      <c r="A144">
        <v>26</v>
      </c>
      <c r="B144" t="s">
        <v>23</v>
      </c>
      <c r="C144" t="s">
        <v>29</v>
      </c>
      <c r="D144" t="s">
        <v>30</v>
      </c>
      <c r="E144" s="1">
        <v>45208</v>
      </c>
      <c r="F144">
        <v>3</v>
      </c>
      <c r="G144">
        <v>371</v>
      </c>
      <c r="H144" s="4">
        <v>1113</v>
      </c>
      <c r="I144">
        <v>2500</v>
      </c>
      <c r="J144">
        <v>2023</v>
      </c>
      <c r="K144" t="s">
        <v>31</v>
      </c>
      <c r="L144" t="s">
        <v>32</v>
      </c>
    </row>
    <row r="145" spans="1:12" x14ac:dyDescent="0.3">
      <c r="A145">
        <v>29</v>
      </c>
      <c r="B145" t="s">
        <v>34</v>
      </c>
      <c r="C145" t="s">
        <v>35</v>
      </c>
      <c r="D145" t="s">
        <v>46</v>
      </c>
      <c r="E145" s="1">
        <v>45228</v>
      </c>
      <c r="F145">
        <v>4</v>
      </c>
      <c r="G145">
        <v>107</v>
      </c>
      <c r="H145" s="4">
        <v>428</v>
      </c>
      <c r="I145">
        <v>1000</v>
      </c>
      <c r="J145">
        <v>2023</v>
      </c>
      <c r="K145" t="s">
        <v>31</v>
      </c>
      <c r="L145" t="s">
        <v>32</v>
      </c>
    </row>
    <row r="146" spans="1:12" x14ac:dyDescent="0.3">
      <c r="A146">
        <v>36</v>
      </c>
      <c r="B146" t="s">
        <v>23</v>
      </c>
      <c r="C146" t="s">
        <v>29</v>
      </c>
      <c r="D146" t="s">
        <v>50</v>
      </c>
      <c r="E146" s="1">
        <v>45208</v>
      </c>
      <c r="F146">
        <v>2</v>
      </c>
      <c r="G146">
        <v>151</v>
      </c>
      <c r="H146" s="4">
        <v>302</v>
      </c>
      <c r="I146">
        <v>1000</v>
      </c>
      <c r="J146">
        <v>2023</v>
      </c>
      <c r="K146" t="s">
        <v>31</v>
      </c>
      <c r="L146" t="s">
        <v>32</v>
      </c>
    </row>
    <row r="147" spans="1:12" x14ac:dyDescent="0.3">
      <c r="A147">
        <v>41</v>
      </c>
      <c r="B147" t="s">
        <v>28</v>
      </c>
      <c r="C147" t="s">
        <v>35</v>
      </c>
      <c r="D147" t="s">
        <v>46</v>
      </c>
      <c r="E147" s="1">
        <v>45226</v>
      </c>
      <c r="F147">
        <v>8</v>
      </c>
      <c r="G147">
        <v>614</v>
      </c>
      <c r="H147" s="4">
        <v>4912</v>
      </c>
      <c r="I147">
        <v>1500</v>
      </c>
      <c r="J147">
        <v>2023</v>
      </c>
      <c r="K147" t="s">
        <v>31</v>
      </c>
      <c r="L147" t="s">
        <v>32</v>
      </c>
    </row>
    <row r="148" spans="1:12" x14ac:dyDescent="0.3">
      <c r="A148">
        <v>43</v>
      </c>
      <c r="B148" t="s">
        <v>28</v>
      </c>
      <c r="C148" t="s">
        <v>29</v>
      </c>
      <c r="D148" t="s">
        <v>33</v>
      </c>
      <c r="E148" s="1">
        <v>45218</v>
      </c>
      <c r="F148">
        <v>4</v>
      </c>
      <c r="G148">
        <v>692</v>
      </c>
      <c r="H148" s="4">
        <v>2768</v>
      </c>
      <c r="I148">
        <v>1000</v>
      </c>
      <c r="J148">
        <v>2023</v>
      </c>
      <c r="K148" t="s">
        <v>31</v>
      </c>
      <c r="L148" t="s">
        <v>32</v>
      </c>
    </row>
    <row r="149" spans="1:12" x14ac:dyDescent="0.3">
      <c r="A149">
        <v>54</v>
      </c>
      <c r="B149" t="s">
        <v>23</v>
      </c>
      <c r="C149" t="s">
        <v>29</v>
      </c>
      <c r="D149" t="s">
        <v>30</v>
      </c>
      <c r="E149" s="1">
        <v>45209</v>
      </c>
      <c r="F149">
        <v>7</v>
      </c>
      <c r="G149">
        <v>674</v>
      </c>
      <c r="H149" s="4">
        <v>4718</v>
      </c>
      <c r="I149">
        <v>1000</v>
      </c>
      <c r="J149">
        <v>2023</v>
      </c>
      <c r="K149" t="s">
        <v>31</v>
      </c>
      <c r="L149" t="s">
        <v>32</v>
      </c>
    </row>
    <row r="150" spans="1:12" x14ac:dyDescent="0.3">
      <c r="A150">
        <v>55</v>
      </c>
      <c r="B150" t="s">
        <v>34</v>
      </c>
      <c r="C150" t="s">
        <v>19</v>
      </c>
      <c r="D150" t="s">
        <v>20</v>
      </c>
      <c r="E150" s="1">
        <v>45206</v>
      </c>
      <c r="F150">
        <v>1</v>
      </c>
      <c r="G150">
        <v>954</v>
      </c>
      <c r="H150" s="4">
        <v>954</v>
      </c>
      <c r="I150">
        <v>2000</v>
      </c>
      <c r="J150">
        <v>2023</v>
      </c>
      <c r="K150" t="s">
        <v>31</v>
      </c>
      <c r="L150" t="s">
        <v>32</v>
      </c>
    </row>
    <row r="151" spans="1:12" x14ac:dyDescent="0.3">
      <c r="A151">
        <v>64</v>
      </c>
      <c r="B151" t="s">
        <v>34</v>
      </c>
      <c r="C151" t="s">
        <v>19</v>
      </c>
      <c r="D151" t="s">
        <v>57</v>
      </c>
      <c r="E151" s="1">
        <v>45224</v>
      </c>
      <c r="F151">
        <v>5</v>
      </c>
      <c r="G151">
        <v>139</v>
      </c>
      <c r="H151" s="4">
        <v>695</v>
      </c>
      <c r="I151">
        <v>1000</v>
      </c>
      <c r="J151">
        <v>2023</v>
      </c>
      <c r="K151" t="s">
        <v>31</v>
      </c>
      <c r="L151" t="s">
        <v>32</v>
      </c>
    </row>
    <row r="152" spans="1:12" x14ac:dyDescent="0.3">
      <c r="A152">
        <v>69</v>
      </c>
      <c r="B152" t="s">
        <v>18</v>
      </c>
      <c r="C152" t="s">
        <v>35</v>
      </c>
      <c r="D152" t="s">
        <v>36</v>
      </c>
      <c r="E152" s="1">
        <v>45210</v>
      </c>
      <c r="F152">
        <v>3</v>
      </c>
      <c r="G152">
        <v>296</v>
      </c>
      <c r="H152" s="4">
        <v>888</v>
      </c>
      <c r="I152">
        <v>2500</v>
      </c>
      <c r="J152">
        <v>2023</v>
      </c>
      <c r="K152" t="s">
        <v>31</v>
      </c>
      <c r="L152" t="s">
        <v>32</v>
      </c>
    </row>
    <row r="153" spans="1:12" x14ac:dyDescent="0.3">
      <c r="A153">
        <v>95</v>
      </c>
      <c r="B153" t="s">
        <v>28</v>
      </c>
      <c r="C153" t="s">
        <v>29</v>
      </c>
      <c r="D153" t="s">
        <v>33</v>
      </c>
      <c r="E153" s="1">
        <v>45215</v>
      </c>
      <c r="F153">
        <v>4</v>
      </c>
      <c r="G153">
        <v>576</v>
      </c>
      <c r="H153" s="4">
        <v>2304</v>
      </c>
      <c r="I153">
        <v>2000</v>
      </c>
      <c r="J153">
        <v>2023</v>
      </c>
      <c r="K153" t="s">
        <v>31</v>
      </c>
      <c r="L153" t="s">
        <v>32</v>
      </c>
    </row>
    <row r="154" spans="1:12" x14ac:dyDescent="0.3">
      <c r="A154">
        <v>123</v>
      </c>
      <c r="B154" t="s">
        <v>34</v>
      </c>
      <c r="C154" t="s">
        <v>29</v>
      </c>
      <c r="D154" t="s">
        <v>50</v>
      </c>
      <c r="E154" s="1">
        <v>45209</v>
      </c>
      <c r="F154">
        <v>2</v>
      </c>
      <c r="G154">
        <v>260</v>
      </c>
      <c r="H154" s="4">
        <v>520</v>
      </c>
      <c r="I154">
        <v>1000</v>
      </c>
      <c r="J154">
        <v>2023</v>
      </c>
      <c r="K154" t="s">
        <v>31</v>
      </c>
      <c r="L154" t="s">
        <v>32</v>
      </c>
    </row>
    <row r="155" spans="1:12" x14ac:dyDescent="0.3">
      <c r="A155">
        <v>138</v>
      </c>
      <c r="B155" t="s">
        <v>18</v>
      </c>
      <c r="C155" t="s">
        <v>19</v>
      </c>
      <c r="D155" t="s">
        <v>20</v>
      </c>
      <c r="E155" s="1">
        <v>45208</v>
      </c>
      <c r="F155">
        <v>3</v>
      </c>
      <c r="G155">
        <v>394</v>
      </c>
      <c r="H155" s="4">
        <v>1182</v>
      </c>
      <c r="I155">
        <v>2500</v>
      </c>
      <c r="J155">
        <v>2023</v>
      </c>
      <c r="K155" t="s">
        <v>31</v>
      </c>
      <c r="L155" t="s">
        <v>32</v>
      </c>
    </row>
    <row r="156" spans="1:12" x14ac:dyDescent="0.3">
      <c r="A156">
        <v>140</v>
      </c>
      <c r="B156" t="s">
        <v>28</v>
      </c>
      <c r="C156" t="s">
        <v>29</v>
      </c>
      <c r="D156" t="s">
        <v>33</v>
      </c>
      <c r="E156" s="1">
        <v>45209</v>
      </c>
      <c r="F156">
        <v>7</v>
      </c>
      <c r="G156">
        <v>195</v>
      </c>
      <c r="H156" s="4">
        <v>1365</v>
      </c>
      <c r="I156">
        <v>1500</v>
      </c>
      <c r="J156">
        <v>2023</v>
      </c>
      <c r="K156" t="s">
        <v>31</v>
      </c>
      <c r="L156" t="s">
        <v>32</v>
      </c>
    </row>
    <row r="157" spans="1:12" x14ac:dyDescent="0.3">
      <c r="A157">
        <v>145</v>
      </c>
      <c r="B157" t="s">
        <v>18</v>
      </c>
      <c r="C157" t="s">
        <v>35</v>
      </c>
      <c r="D157" t="s">
        <v>54</v>
      </c>
      <c r="E157" s="1">
        <v>45227</v>
      </c>
      <c r="F157">
        <v>10</v>
      </c>
      <c r="G157">
        <v>775</v>
      </c>
      <c r="H157" s="4">
        <v>7750</v>
      </c>
      <c r="I157">
        <v>2500</v>
      </c>
      <c r="J157">
        <v>2023</v>
      </c>
      <c r="K157" t="s">
        <v>31</v>
      </c>
      <c r="L157" t="s">
        <v>32</v>
      </c>
    </row>
    <row r="158" spans="1:12" x14ac:dyDescent="0.3">
      <c r="A158">
        <v>161</v>
      </c>
      <c r="B158" t="s">
        <v>18</v>
      </c>
      <c r="C158" t="s">
        <v>19</v>
      </c>
      <c r="D158" t="s">
        <v>57</v>
      </c>
      <c r="E158" s="1">
        <v>45227</v>
      </c>
      <c r="F158">
        <v>5</v>
      </c>
      <c r="G158">
        <v>754</v>
      </c>
      <c r="H158" s="4">
        <v>3770</v>
      </c>
      <c r="I158">
        <v>2500</v>
      </c>
      <c r="J158">
        <v>2023</v>
      </c>
      <c r="K158" t="s">
        <v>31</v>
      </c>
      <c r="L158" t="s">
        <v>32</v>
      </c>
    </row>
    <row r="159" spans="1:12" x14ac:dyDescent="0.3">
      <c r="A159">
        <v>163</v>
      </c>
      <c r="B159" t="s">
        <v>23</v>
      </c>
      <c r="C159" t="s">
        <v>19</v>
      </c>
      <c r="D159" t="s">
        <v>20</v>
      </c>
      <c r="E159" s="1">
        <v>45219</v>
      </c>
      <c r="F159">
        <v>6</v>
      </c>
      <c r="G159">
        <v>688</v>
      </c>
      <c r="H159" s="4">
        <v>4128</v>
      </c>
      <c r="I159">
        <v>2000</v>
      </c>
      <c r="J159">
        <v>2023</v>
      </c>
      <c r="K159" t="s">
        <v>31</v>
      </c>
      <c r="L159" t="s">
        <v>32</v>
      </c>
    </row>
    <row r="160" spans="1:12" x14ac:dyDescent="0.3">
      <c r="A160">
        <v>171</v>
      </c>
      <c r="B160" t="s">
        <v>23</v>
      </c>
      <c r="C160" t="s">
        <v>29</v>
      </c>
      <c r="D160" t="s">
        <v>50</v>
      </c>
      <c r="E160" s="1">
        <v>45212</v>
      </c>
      <c r="F160">
        <v>6</v>
      </c>
      <c r="G160">
        <v>192</v>
      </c>
      <c r="H160" s="4">
        <v>1152</v>
      </c>
      <c r="I160">
        <v>2500</v>
      </c>
      <c r="J160">
        <v>2023</v>
      </c>
      <c r="K160" t="s">
        <v>31</v>
      </c>
      <c r="L160" t="s">
        <v>32</v>
      </c>
    </row>
    <row r="161" spans="1:12" x14ac:dyDescent="0.3">
      <c r="A161">
        <v>183</v>
      </c>
      <c r="B161" t="s">
        <v>34</v>
      </c>
      <c r="C161" t="s">
        <v>35</v>
      </c>
      <c r="D161" t="s">
        <v>46</v>
      </c>
      <c r="E161" s="1">
        <v>45216</v>
      </c>
      <c r="F161">
        <v>4</v>
      </c>
      <c r="G161">
        <v>170</v>
      </c>
      <c r="H161" s="4">
        <v>680</v>
      </c>
      <c r="I161">
        <v>1500</v>
      </c>
      <c r="J161">
        <v>2023</v>
      </c>
      <c r="K161" t="s">
        <v>31</v>
      </c>
      <c r="L161" t="s">
        <v>32</v>
      </c>
    </row>
    <row r="162" spans="1:12" x14ac:dyDescent="0.3">
      <c r="A162">
        <v>185</v>
      </c>
      <c r="B162" t="s">
        <v>34</v>
      </c>
      <c r="C162" t="s">
        <v>35</v>
      </c>
      <c r="D162" t="s">
        <v>46</v>
      </c>
      <c r="E162" s="1">
        <v>45203</v>
      </c>
      <c r="F162">
        <v>5</v>
      </c>
      <c r="G162">
        <v>917</v>
      </c>
      <c r="H162" s="4">
        <v>4585</v>
      </c>
      <c r="I162">
        <v>1500</v>
      </c>
      <c r="J162">
        <v>2023</v>
      </c>
      <c r="K162" t="s">
        <v>31</v>
      </c>
      <c r="L162" t="s">
        <v>32</v>
      </c>
    </row>
    <row r="163" spans="1:12" x14ac:dyDescent="0.3">
      <c r="A163">
        <v>23</v>
      </c>
      <c r="B163" t="s">
        <v>28</v>
      </c>
      <c r="C163" t="s">
        <v>24</v>
      </c>
      <c r="D163" t="s">
        <v>51</v>
      </c>
      <c r="E163" s="1">
        <v>45233</v>
      </c>
      <c r="F163">
        <v>6</v>
      </c>
      <c r="G163">
        <v>600</v>
      </c>
      <c r="H163" s="4">
        <v>3600</v>
      </c>
      <c r="I163">
        <v>1000</v>
      </c>
      <c r="J163">
        <v>2023</v>
      </c>
      <c r="K163" t="s">
        <v>31</v>
      </c>
      <c r="L163" t="s">
        <v>56</v>
      </c>
    </row>
    <row r="164" spans="1:12" x14ac:dyDescent="0.3">
      <c r="A164">
        <v>58</v>
      </c>
      <c r="B164" t="s">
        <v>23</v>
      </c>
      <c r="C164" t="s">
        <v>35</v>
      </c>
      <c r="D164" t="s">
        <v>54</v>
      </c>
      <c r="E164" s="1">
        <v>45244</v>
      </c>
      <c r="F164">
        <v>3</v>
      </c>
      <c r="G164">
        <v>342</v>
      </c>
      <c r="H164" s="4">
        <v>1026</v>
      </c>
      <c r="I164">
        <v>1500</v>
      </c>
      <c r="J164">
        <v>2023</v>
      </c>
      <c r="K164" t="s">
        <v>31</v>
      </c>
      <c r="L164" t="s">
        <v>56</v>
      </c>
    </row>
    <row r="165" spans="1:12" x14ac:dyDescent="0.3">
      <c r="A165">
        <v>70</v>
      </c>
      <c r="B165" t="s">
        <v>34</v>
      </c>
      <c r="C165" t="s">
        <v>38</v>
      </c>
      <c r="D165" t="s">
        <v>41</v>
      </c>
      <c r="E165" s="1">
        <v>45242</v>
      </c>
      <c r="F165">
        <v>10</v>
      </c>
      <c r="G165">
        <v>408</v>
      </c>
      <c r="H165" s="4">
        <v>4080</v>
      </c>
      <c r="I165">
        <v>2500</v>
      </c>
      <c r="J165">
        <v>2023</v>
      </c>
      <c r="K165" t="s">
        <v>31</v>
      </c>
      <c r="L165" t="s">
        <v>56</v>
      </c>
    </row>
    <row r="166" spans="1:12" x14ac:dyDescent="0.3">
      <c r="A166">
        <v>75</v>
      </c>
      <c r="B166" t="s">
        <v>23</v>
      </c>
      <c r="C166" t="s">
        <v>19</v>
      </c>
      <c r="D166" t="s">
        <v>20</v>
      </c>
      <c r="E166" s="1">
        <v>45239</v>
      </c>
      <c r="F166">
        <v>2</v>
      </c>
      <c r="G166">
        <v>566</v>
      </c>
      <c r="H166" s="4">
        <v>1132</v>
      </c>
      <c r="I166">
        <v>2500</v>
      </c>
      <c r="J166">
        <v>2023</v>
      </c>
      <c r="K166" t="s">
        <v>31</v>
      </c>
      <c r="L166" t="s">
        <v>56</v>
      </c>
    </row>
    <row r="167" spans="1:12" x14ac:dyDescent="0.3">
      <c r="A167">
        <v>81</v>
      </c>
      <c r="B167" t="s">
        <v>23</v>
      </c>
      <c r="C167" t="s">
        <v>35</v>
      </c>
      <c r="D167" t="s">
        <v>54</v>
      </c>
      <c r="E167" s="1">
        <v>45247</v>
      </c>
      <c r="F167">
        <v>4</v>
      </c>
      <c r="G167">
        <v>381</v>
      </c>
      <c r="H167" s="4">
        <v>1524</v>
      </c>
      <c r="I167">
        <v>2500</v>
      </c>
      <c r="J167">
        <v>2023</v>
      </c>
      <c r="K167" t="s">
        <v>31</v>
      </c>
      <c r="L167" t="s">
        <v>56</v>
      </c>
    </row>
    <row r="168" spans="1:12" x14ac:dyDescent="0.3">
      <c r="A168">
        <v>101</v>
      </c>
      <c r="B168" t="s">
        <v>18</v>
      </c>
      <c r="C168" t="s">
        <v>19</v>
      </c>
      <c r="D168" t="s">
        <v>57</v>
      </c>
      <c r="E168" s="1">
        <v>45252</v>
      </c>
      <c r="F168">
        <v>8</v>
      </c>
      <c r="G168">
        <v>824</v>
      </c>
      <c r="H168" s="4">
        <v>6592</v>
      </c>
      <c r="I168">
        <v>1500</v>
      </c>
      <c r="J168">
        <v>2023</v>
      </c>
      <c r="K168" t="s">
        <v>31</v>
      </c>
      <c r="L168" t="s">
        <v>56</v>
      </c>
    </row>
    <row r="169" spans="1:12" x14ac:dyDescent="0.3">
      <c r="A169">
        <v>102</v>
      </c>
      <c r="B169" t="s">
        <v>18</v>
      </c>
      <c r="C169" t="s">
        <v>38</v>
      </c>
      <c r="D169" t="s">
        <v>39</v>
      </c>
      <c r="E169" s="1">
        <v>45242</v>
      </c>
      <c r="F169">
        <v>9</v>
      </c>
      <c r="G169">
        <v>893</v>
      </c>
      <c r="H169" s="4">
        <v>8037</v>
      </c>
      <c r="I169">
        <v>2500</v>
      </c>
      <c r="J169">
        <v>2023</v>
      </c>
      <c r="K169" t="s">
        <v>31</v>
      </c>
      <c r="L169" t="s">
        <v>56</v>
      </c>
    </row>
    <row r="170" spans="1:12" x14ac:dyDescent="0.3">
      <c r="A170">
        <v>126</v>
      </c>
      <c r="B170" t="s">
        <v>34</v>
      </c>
      <c r="C170" t="s">
        <v>38</v>
      </c>
      <c r="D170" t="s">
        <v>39</v>
      </c>
      <c r="E170" s="1">
        <v>45258</v>
      </c>
      <c r="F170">
        <v>3</v>
      </c>
      <c r="G170">
        <v>372</v>
      </c>
      <c r="H170" s="4">
        <v>1116</v>
      </c>
      <c r="I170">
        <v>1500</v>
      </c>
      <c r="J170">
        <v>2023</v>
      </c>
      <c r="K170" t="s">
        <v>31</v>
      </c>
      <c r="L170" t="s">
        <v>56</v>
      </c>
    </row>
    <row r="171" spans="1:12" x14ac:dyDescent="0.3">
      <c r="A171">
        <v>130</v>
      </c>
      <c r="B171" t="s">
        <v>18</v>
      </c>
      <c r="C171" t="s">
        <v>38</v>
      </c>
      <c r="D171" t="s">
        <v>41</v>
      </c>
      <c r="E171" s="1">
        <v>45236</v>
      </c>
      <c r="F171">
        <v>5</v>
      </c>
      <c r="G171">
        <v>126</v>
      </c>
      <c r="H171" s="4">
        <v>630</v>
      </c>
      <c r="I171">
        <v>1000</v>
      </c>
      <c r="J171">
        <v>2023</v>
      </c>
      <c r="K171" t="s">
        <v>31</v>
      </c>
      <c r="L171" t="s">
        <v>56</v>
      </c>
    </row>
    <row r="172" spans="1:12" x14ac:dyDescent="0.3">
      <c r="A172">
        <v>137</v>
      </c>
      <c r="B172" t="s">
        <v>18</v>
      </c>
      <c r="C172" t="s">
        <v>19</v>
      </c>
      <c r="D172" t="s">
        <v>20</v>
      </c>
      <c r="E172" s="1">
        <v>45245</v>
      </c>
      <c r="F172">
        <v>8</v>
      </c>
      <c r="G172">
        <v>740</v>
      </c>
      <c r="H172" s="4">
        <v>5920</v>
      </c>
      <c r="I172">
        <v>2500</v>
      </c>
      <c r="J172">
        <v>2023</v>
      </c>
      <c r="K172" t="s">
        <v>31</v>
      </c>
      <c r="L172" t="s">
        <v>56</v>
      </c>
    </row>
    <row r="173" spans="1:12" x14ac:dyDescent="0.3">
      <c r="A173">
        <v>139</v>
      </c>
      <c r="B173" t="s">
        <v>28</v>
      </c>
      <c r="C173" t="s">
        <v>38</v>
      </c>
      <c r="D173" t="s">
        <v>39</v>
      </c>
      <c r="E173" s="1">
        <v>45249</v>
      </c>
      <c r="F173">
        <v>10</v>
      </c>
      <c r="G173">
        <v>918</v>
      </c>
      <c r="H173" s="4">
        <v>9180</v>
      </c>
      <c r="I173">
        <v>1500</v>
      </c>
      <c r="J173">
        <v>2023</v>
      </c>
      <c r="K173" t="s">
        <v>31</v>
      </c>
      <c r="L173" t="s">
        <v>56</v>
      </c>
    </row>
    <row r="174" spans="1:12" x14ac:dyDescent="0.3">
      <c r="A174">
        <v>141</v>
      </c>
      <c r="B174" t="s">
        <v>28</v>
      </c>
      <c r="C174" t="s">
        <v>19</v>
      </c>
      <c r="D174" t="s">
        <v>57</v>
      </c>
      <c r="E174" s="1">
        <v>45258</v>
      </c>
      <c r="F174">
        <v>3</v>
      </c>
      <c r="G174">
        <v>610</v>
      </c>
      <c r="H174" s="4">
        <v>1830</v>
      </c>
      <c r="I174">
        <v>2000</v>
      </c>
      <c r="J174">
        <v>2023</v>
      </c>
      <c r="K174" t="s">
        <v>31</v>
      </c>
      <c r="L174" t="s">
        <v>56</v>
      </c>
    </row>
    <row r="175" spans="1:12" x14ac:dyDescent="0.3">
      <c r="A175">
        <v>152</v>
      </c>
      <c r="B175" t="s">
        <v>23</v>
      </c>
      <c r="C175" t="s">
        <v>35</v>
      </c>
      <c r="D175" t="s">
        <v>54</v>
      </c>
      <c r="E175" s="1">
        <v>45259</v>
      </c>
      <c r="F175">
        <v>2</v>
      </c>
      <c r="G175">
        <v>972</v>
      </c>
      <c r="H175" s="4">
        <v>1944</v>
      </c>
      <c r="I175">
        <v>2000</v>
      </c>
      <c r="J175">
        <v>2023</v>
      </c>
      <c r="K175" t="s">
        <v>31</v>
      </c>
      <c r="L175" t="s">
        <v>56</v>
      </c>
    </row>
    <row r="176" spans="1:12" x14ac:dyDescent="0.3">
      <c r="A176">
        <v>153</v>
      </c>
      <c r="B176" t="s">
        <v>18</v>
      </c>
      <c r="C176" t="s">
        <v>24</v>
      </c>
      <c r="D176" t="s">
        <v>44</v>
      </c>
      <c r="E176" s="1">
        <v>45247</v>
      </c>
      <c r="F176">
        <v>8</v>
      </c>
      <c r="G176">
        <v>993</v>
      </c>
      <c r="H176" s="4">
        <v>7944</v>
      </c>
      <c r="I176">
        <v>1000</v>
      </c>
      <c r="J176">
        <v>2023</v>
      </c>
      <c r="K176" t="s">
        <v>31</v>
      </c>
      <c r="L176" t="s">
        <v>56</v>
      </c>
    </row>
    <row r="177" spans="1:12" x14ac:dyDescent="0.3">
      <c r="A177">
        <v>154</v>
      </c>
      <c r="B177" t="s">
        <v>34</v>
      </c>
      <c r="C177" t="s">
        <v>24</v>
      </c>
      <c r="D177" t="s">
        <v>25</v>
      </c>
      <c r="E177" s="1">
        <v>45250</v>
      </c>
      <c r="F177">
        <v>5</v>
      </c>
      <c r="G177">
        <v>332</v>
      </c>
      <c r="H177" s="4">
        <v>1660</v>
      </c>
      <c r="I177">
        <v>1000</v>
      </c>
      <c r="J177">
        <v>2023</v>
      </c>
      <c r="K177" t="s">
        <v>31</v>
      </c>
      <c r="L177" t="s">
        <v>56</v>
      </c>
    </row>
    <row r="178" spans="1:12" x14ac:dyDescent="0.3">
      <c r="A178">
        <v>158</v>
      </c>
      <c r="B178" t="s">
        <v>28</v>
      </c>
      <c r="C178" t="s">
        <v>29</v>
      </c>
      <c r="D178" t="s">
        <v>50</v>
      </c>
      <c r="E178" s="1">
        <v>45239</v>
      </c>
      <c r="F178">
        <v>7</v>
      </c>
      <c r="G178">
        <v>734</v>
      </c>
      <c r="H178" s="4">
        <v>5138</v>
      </c>
      <c r="I178">
        <v>1500</v>
      </c>
      <c r="J178">
        <v>2023</v>
      </c>
      <c r="K178" t="s">
        <v>31</v>
      </c>
      <c r="L178" t="s">
        <v>56</v>
      </c>
    </row>
    <row r="179" spans="1:12" x14ac:dyDescent="0.3">
      <c r="A179">
        <v>166</v>
      </c>
      <c r="B179" t="s">
        <v>34</v>
      </c>
      <c r="C179" t="s">
        <v>29</v>
      </c>
      <c r="D179" t="s">
        <v>30</v>
      </c>
      <c r="E179" s="1">
        <v>45244</v>
      </c>
      <c r="F179">
        <v>5</v>
      </c>
      <c r="G179">
        <v>794</v>
      </c>
      <c r="H179" s="4">
        <v>3970</v>
      </c>
      <c r="I179">
        <v>1500</v>
      </c>
      <c r="J179">
        <v>2023</v>
      </c>
      <c r="K179" t="s">
        <v>31</v>
      </c>
      <c r="L179" t="s">
        <v>56</v>
      </c>
    </row>
    <row r="180" spans="1:12" x14ac:dyDescent="0.3">
      <c r="A180">
        <v>174</v>
      </c>
      <c r="B180" t="s">
        <v>18</v>
      </c>
      <c r="C180" t="s">
        <v>24</v>
      </c>
      <c r="D180" t="s">
        <v>51</v>
      </c>
      <c r="E180" s="1">
        <v>45239</v>
      </c>
      <c r="F180">
        <v>4</v>
      </c>
      <c r="G180">
        <v>763</v>
      </c>
      <c r="H180" s="4">
        <v>3052</v>
      </c>
      <c r="I180">
        <v>1000</v>
      </c>
      <c r="J180">
        <v>2023</v>
      </c>
      <c r="K180" t="s">
        <v>31</v>
      </c>
      <c r="L180" t="s">
        <v>56</v>
      </c>
    </row>
    <row r="181" spans="1:12" x14ac:dyDescent="0.3">
      <c r="A181">
        <v>175</v>
      </c>
      <c r="B181" t="s">
        <v>18</v>
      </c>
      <c r="C181" t="s">
        <v>38</v>
      </c>
      <c r="D181" t="s">
        <v>41</v>
      </c>
      <c r="E181" s="1">
        <v>45259</v>
      </c>
      <c r="F181">
        <v>7</v>
      </c>
      <c r="G181">
        <v>219</v>
      </c>
      <c r="H181" s="4">
        <v>1533</v>
      </c>
      <c r="I181">
        <v>1500</v>
      </c>
      <c r="J181">
        <v>2023</v>
      </c>
      <c r="K181" t="s">
        <v>31</v>
      </c>
      <c r="L181" t="s">
        <v>56</v>
      </c>
    </row>
    <row r="182" spans="1:12" x14ac:dyDescent="0.3">
      <c r="A182">
        <v>182</v>
      </c>
      <c r="B182" t="s">
        <v>34</v>
      </c>
      <c r="C182" t="s">
        <v>19</v>
      </c>
      <c r="D182" t="s">
        <v>48</v>
      </c>
      <c r="E182" s="1">
        <v>45255</v>
      </c>
      <c r="F182">
        <v>10</v>
      </c>
      <c r="G182">
        <v>121</v>
      </c>
      <c r="H182" s="4">
        <v>1210</v>
      </c>
      <c r="I182">
        <v>1000</v>
      </c>
      <c r="J182">
        <v>2023</v>
      </c>
      <c r="K182" t="s">
        <v>31</v>
      </c>
      <c r="L182" t="s">
        <v>56</v>
      </c>
    </row>
    <row r="183" spans="1:12" x14ac:dyDescent="0.3">
      <c r="A183">
        <v>190</v>
      </c>
      <c r="B183" t="s">
        <v>23</v>
      </c>
      <c r="C183" t="s">
        <v>24</v>
      </c>
      <c r="D183" t="s">
        <v>44</v>
      </c>
      <c r="E183" s="1">
        <v>45256</v>
      </c>
      <c r="F183">
        <v>1</v>
      </c>
      <c r="G183">
        <v>162</v>
      </c>
      <c r="H183" s="4">
        <v>162</v>
      </c>
      <c r="I183">
        <v>2500</v>
      </c>
      <c r="J183">
        <v>2023</v>
      </c>
      <c r="K183" t="s">
        <v>31</v>
      </c>
      <c r="L183" t="s">
        <v>56</v>
      </c>
    </row>
    <row r="184" spans="1:12" x14ac:dyDescent="0.3">
      <c r="A184">
        <v>8</v>
      </c>
      <c r="B184" t="s">
        <v>34</v>
      </c>
      <c r="C184" t="s">
        <v>24</v>
      </c>
      <c r="D184" t="s">
        <v>44</v>
      </c>
      <c r="E184" s="1">
        <v>45287</v>
      </c>
      <c r="F184">
        <v>2</v>
      </c>
      <c r="G184">
        <v>146</v>
      </c>
      <c r="H184" s="4">
        <v>292</v>
      </c>
      <c r="I184">
        <v>1500</v>
      </c>
      <c r="J184">
        <v>2023</v>
      </c>
      <c r="K184" t="s">
        <v>31</v>
      </c>
      <c r="L184" t="s">
        <v>45</v>
      </c>
    </row>
    <row r="185" spans="1:12" x14ac:dyDescent="0.3">
      <c r="A185">
        <v>12</v>
      </c>
      <c r="B185" t="s">
        <v>34</v>
      </c>
      <c r="C185" t="s">
        <v>38</v>
      </c>
      <c r="D185" t="s">
        <v>49</v>
      </c>
      <c r="E185" s="1">
        <v>45277</v>
      </c>
      <c r="F185">
        <v>6</v>
      </c>
      <c r="G185">
        <v>963</v>
      </c>
      <c r="H185" s="4">
        <v>5778</v>
      </c>
      <c r="I185">
        <v>1000</v>
      </c>
      <c r="J185">
        <v>2023</v>
      </c>
      <c r="K185" t="s">
        <v>31</v>
      </c>
      <c r="L185" t="s">
        <v>45</v>
      </c>
    </row>
    <row r="186" spans="1:12" x14ac:dyDescent="0.3">
      <c r="A186">
        <v>19</v>
      </c>
      <c r="B186" t="s">
        <v>28</v>
      </c>
      <c r="C186" t="s">
        <v>24</v>
      </c>
      <c r="D186" t="s">
        <v>25</v>
      </c>
      <c r="E186" s="1">
        <v>45276</v>
      </c>
      <c r="F186">
        <v>9</v>
      </c>
      <c r="G186">
        <v>868</v>
      </c>
      <c r="H186" s="4">
        <v>7812</v>
      </c>
      <c r="I186">
        <v>2000</v>
      </c>
      <c r="J186">
        <v>2023</v>
      </c>
      <c r="K186" t="s">
        <v>31</v>
      </c>
      <c r="L186" t="s">
        <v>45</v>
      </c>
    </row>
    <row r="187" spans="1:12" x14ac:dyDescent="0.3">
      <c r="A187">
        <v>39</v>
      </c>
      <c r="B187" t="s">
        <v>23</v>
      </c>
      <c r="C187" t="s">
        <v>38</v>
      </c>
      <c r="D187" t="s">
        <v>49</v>
      </c>
      <c r="E187" s="1">
        <v>45283</v>
      </c>
      <c r="F187">
        <v>9</v>
      </c>
      <c r="G187">
        <v>777</v>
      </c>
      <c r="H187" s="4">
        <v>6993</v>
      </c>
      <c r="I187">
        <v>2500</v>
      </c>
      <c r="J187">
        <v>2023</v>
      </c>
      <c r="K187" t="s">
        <v>31</v>
      </c>
      <c r="L187" t="s">
        <v>45</v>
      </c>
    </row>
    <row r="188" spans="1:12" x14ac:dyDescent="0.3">
      <c r="A188">
        <v>44</v>
      </c>
      <c r="B188" t="s">
        <v>23</v>
      </c>
      <c r="C188" t="s">
        <v>24</v>
      </c>
      <c r="D188" t="s">
        <v>25</v>
      </c>
      <c r="E188" s="1">
        <v>45263</v>
      </c>
      <c r="F188">
        <v>10</v>
      </c>
      <c r="G188">
        <v>678</v>
      </c>
      <c r="H188" s="4">
        <v>6780</v>
      </c>
      <c r="I188">
        <v>2000</v>
      </c>
      <c r="J188">
        <v>2023</v>
      </c>
      <c r="K188" t="s">
        <v>31</v>
      </c>
      <c r="L188" t="s">
        <v>45</v>
      </c>
    </row>
    <row r="189" spans="1:12" x14ac:dyDescent="0.3">
      <c r="A189">
        <v>49</v>
      </c>
      <c r="B189" t="s">
        <v>28</v>
      </c>
      <c r="C189" t="s">
        <v>24</v>
      </c>
      <c r="D189" t="s">
        <v>51</v>
      </c>
      <c r="E189" s="1">
        <v>45268</v>
      </c>
      <c r="F189">
        <v>9</v>
      </c>
      <c r="G189">
        <v>406</v>
      </c>
      <c r="H189" s="4">
        <v>3654</v>
      </c>
      <c r="I189">
        <v>1000</v>
      </c>
      <c r="J189">
        <v>2023</v>
      </c>
      <c r="K189" t="s">
        <v>31</v>
      </c>
      <c r="L189" t="s">
        <v>45</v>
      </c>
    </row>
    <row r="190" spans="1:12" x14ac:dyDescent="0.3">
      <c r="A190">
        <v>60</v>
      </c>
      <c r="B190" t="s">
        <v>34</v>
      </c>
      <c r="C190" t="s">
        <v>29</v>
      </c>
      <c r="D190" t="s">
        <v>33</v>
      </c>
      <c r="E190" s="1">
        <v>45286</v>
      </c>
      <c r="F190">
        <v>2</v>
      </c>
      <c r="G190">
        <v>491</v>
      </c>
      <c r="H190" s="4">
        <v>982</v>
      </c>
      <c r="I190">
        <v>1000</v>
      </c>
      <c r="J190">
        <v>2023</v>
      </c>
      <c r="K190" t="s">
        <v>31</v>
      </c>
      <c r="L190" t="s">
        <v>45</v>
      </c>
    </row>
    <row r="191" spans="1:12" x14ac:dyDescent="0.3">
      <c r="A191">
        <v>63</v>
      </c>
      <c r="B191" t="s">
        <v>23</v>
      </c>
      <c r="C191" t="s">
        <v>35</v>
      </c>
      <c r="D191" t="s">
        <v>36</v>
      </c>
      <c r="E191" s="1">
        <v>45274</v>
      </c>
      <c r="F191">
        <v>9</v>
      </c>
      <c r="G191">
        <v>439</v>
      </c>
      <c r="H191" s="4">
        <v>3951</v>
      </c>
      <c r="I191">
        <v>1000</v>
      </c>
      <c r="J191">
        <v>2023</v>
      </c>
      <c r="K191" t="s">
        <v>31</v>
      </c>
      <c r="L191" t="s">
        <v>45</v>
      </c>
    </row>
    <row r="192" spans="1:12" x14ac:dyDescent="0.3">
      <c r="A192">
        <v>72</v>
      </c>
      <c r="B192" t="s">
        <v>23</v>
      </c>
      <c r="C192" t="s">
        <v>38</v>
      </c>
      <c r="D192" t="s">
        <v>49</v>
      </c>
      <c r="E192" s="1">
        <v>45272</v>
      </c>
      <c r="F192">
        <v>4</v>
      </c>
      <c r="G192">
        <v>623</v>
      </c>
      <c r="H192" s="4">
        <v>2492</v>
      </c>
      <c r="I192">
        <v>2500</v>
      </c>
      <c r="J192">
        <v>2023</v>
      </c>
      <c r="K192" t="s">
        <v>31</v>
      </c>
      <c r="L192" t="s">
        <v>45</v>
      </c>
    </row>
    <row r="193" spans="1:12" x14ac:dyDescent="0.3">
      <c r="A193">
        <v>98</v>
      </c>
      <c r="B193" t="s">
        <v>18</v>
      </c>
      <c r="C193" t="s">
        <v>19</v>
      </c>
      <c r="D193" t="s">
        <v>48</v>
      </c>
      <c r="E193" s="1">
        <v>45277</v>
      </c>
      <c r="F193">
        <v>10</v>
      </c>
      <c r="G193">
        <v>924</v>
      </c>
      <c r="H193" s="4">
        <v>9240</v>
      </c>
      <c r="I193">
        <v>1000</v>
      </c>
      <c r="J193">
        <v>2023</v>
      </c>
      <c r="K193" t="s">
        <v>31</v>
      </c>
      <c r="L193" t="s">
        <v>45</v>
      </c>
    </row>
    <row r="194" spans="1:12" x14ac:dyDescent="0.3">
      <c r="A194">
        <v>108</v>
      </c>
      <c r="B194" t="s">
        <v>34</v>
      </c>
      <c r="C194" t="s">
        <v>38</v>
      </c>
      <c r="D194" t="s">
        <v>41</v>
      </c>
      <c r="E194" s="1">
        <v>45280</v>
      </c>
      <c r="F194">
        <v>8</v>
      </c>
      <c r="G194">
        <v>761</v>
      </c>
      <c r="H194" s="4">
        <v>6088</v>
      </c>
      <c r="I194">
        <v>2500</v>
      </c>
      <c r="J194">
        <v>2023</v>
      </c>
      <c r="K194" t="s">
        <v>31</v>
      </c>
      <c r="L194" t="s">
        <v>45</v>
      </c>
    </row>
    <row r="195" spans="1:12" x14ac:dyDescent="0.3">
      <c r="A195">
        <v>128</v>
      </c>
      <c r="B195" t="s">
        <v>23</v>
      </c>
      <c r="C195" t="s">
        <v>38</v>
      </c>
      <c r="D195" t="s">
        <v>39</v>
      </c>
      <c r="E195" s="1">
        <v>45279</v>
      </c>
      <c r="F195">
        <v>5</v>
      </c>
      <c r="G195">
        <v>816</v>
      </c>
      <c r="H195" s="4">
        <v>4080</v>
      </c>
      <c r="I195">
        <v>2500</v>
      </c>
      <c r="J195">
        <v>2023</v>
      </c>
      <c r="K195" t="s">
        <v>31</v>
      </c>
      <c r="L195" t="s">
        <v>45</v>
      </c>
    </row>
    <row r="196" spans="1:12" x14ac:dyDescent="0.3">
      <c r="A196">
        <v>131</v>
      </c>
      <c r="B196" t="s">
        <v>28</v>
      </c>
      <c r="C196" t="s">
        <v>29</v>
      </c>
      <c r="D196" t="s">
        <v>30</v>
      </c>
      <c r="E196" s="1">
        <v>45271</v>
      </c>
      <c r="F196">
        <v>5</v>
      </c>
      <c r="G196">
        <v>690</v>
      </c>
      <c r="H196" s="4">
        <v>3450</v>
      </c>
      <c r="I196">
        <v>1000</v>
      </c>
      <c r="J196">
        <v>2023</v>
      </c>
      <c r="K196" t="s">
        <v>31</v>
      </c>
      <c r="L196" t="s">
        <v>45</v>
      </c>
    </row>
    <row r="197" spans="1:12" x14ac:dyDescent="0.3">
      <c r="A197">
        <v>136</v>
      </c>
      <c r="B197" t="s">
        <v>28</v>
      </c>
      <c r="C197" t="s">
        <v>19</v>
      </c>
      <c r="D197" t="s">
        <v>57</v>
      </c>
      <c r="E197" s="1">
        <v>45263</v>
      </c>
      <c r="F197">
        <v>9</v>
      </c>
      <c r="G197">
        <v>573</v>
      </c>
      <c r="H197" s="4">
        <v>5157</v>
      </c>
      <c r="I197">
        <v>2500</v>
      </c>
      <c r="J197">
        <v>2023</v>
      </c>
      <c r="K197" t="s">
        <v>31</v>
      </c>
      <c r="L197" t="s">
        <v>45</v>
      </c>
    </row>
    <row r="198" spans="1:12" x14ac:dyDescent="0.3">
      <c r="A198">
        <v>147</v>
      </c>
      <c r="B198" t="s">
        <v>34</v>
      </c>
      <c r="C198" t="s">
        <v>38</v>
      </c>
      <c r="D198" t="s">
        <v>49</v>
      </c>
      <c r="E198" s="1">
        <v>45284</v>
      </c>
      <c r="F198">
        <v>4</v>
      </c>
      <c r="G198">
        <v>685</v>
      </c>
      <c r="H198" s="4">
        <v>2740</v>
      </c>
      <c r="I198">
        <v>2500</v>
      </c>
      <c r="J198">
        <v>2023</v>
      </c>
      <c r="K198" t="s">
        <v>31</v>
      </c>
      <c r="L198" t="s">
        <v>45</v>
      </c>
    </row>
    <row r="199" spans="1:12" x14ac:dyDescent="0.3">
      <c r="A199">
        <v>194</v>
      </c>
      <c r="B199" t="s">
        <v>28</v>
      </c>
      <c r="C199" t="s">
        <v>19</v>
      </c>
      <c r="D199" t="s">
        <v>48</v>
      </c>
      <c r="E199" s="1">
        <v>45262</v>
      </c>
      <c r="F199">
        <v>9</v>
      </c>
      <c r="G199">
        <v>838</v>
      </c>
      <c r="H199" s="4">
        <v>7542</v>
      </c>
      <c r="I199">
        <v>1500</v>
      </c>
      <c r="J199">
        <v>2023</v>
      </c>
      <c r="K199" t="s">
        <v>31</v>
      </c>
      <c r="L199" t="s">
        <v>45</v>
      </c>
    </row>
    <row r="200" spans="1:12" x14ac:dyDescent="0.3">
      <c r="A200">
        <v>199</v>
      </c>
      <c r="B200" t="s">
        <v>18</v>
      </c>
      <c r="C200" t="s">
        <v>24</v>
      </c>
      <c r="D200" t="s">
        <v>51</v>
      </c>
      <c r="E200" s="1">
        <v>45270</v>
      </c>
      <c r="F200">
        <v>2</v>
      </c>
      <c r="G200">
        <v>520</v>
      </c>
      <c r="H200" s="4">
        <v>1040</v>
      </c>
      <c r="I200">
        <v>2000</v>
      </c>
      <c r="J200">
        <v>2023</v>
      </c>
      <c r="K200" t="s">
        <v>31</v>
      </c>
      <c r="L200" t="s">
        <v>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FFE7-E222-453A-A948-EB64C5376C0D}">
  <dimension ref="C1:I1"/>
  <sheetViews>
    <sheetView showGridLines="0" workbookViewId="0">
      <selection activeCell="P6" sqref="P6"/>
    </sheetView>
  </sheetViews>
  <sheetFormatPr defaultRowHeight="14.4" x14ac:dyDescent="0.3"/>
  <cols>
    <col min="2" max="2" width="11.6640625" bestFit="1" customWidth="1"/>
    <col min="3" max="3" width="15.5546875" hidden="1" customWidth="1"/>
    <col min="4" max="6" width="10.88671875" hidden="1" customWidth="1"/>
    <col min="7" max="7" width="12.33203125" hidden="1" customWidth="1"/>
    <col min="8" max="9" width="10.88671875" hidden="1" customWidth="1"/>
    <col min="10" max="10" width="11.109375" bestFit="1" customWidth="1"/>
    <col min="11" max="11" width="13.88671875" bestFit="1" customWidth="1"/>
    <col min="12" max="12" width="8.6640625" bestFit="1" customWidth="1"/>
    <col min="13" max="13" width="13.88671875" bestFit="1" customWidth="1"/>
    <col min="14" max="14" width="8.6640625" bestFit="1" customWidth="1"/>
    <col min="15" max="15" width="13.88671875" bestFit="1" customWidth="1"/>
    <col min="16" max="16" width="8.6640625" bestFit="1" customWidth="1"/>
    <col min="17" max="17" width="13.88671875" bestFit="1" customWidth="1"/>
    <col min="18" max="18" width="8.6640625" bestFit="1" customWidth="1"/>
    <col min="19" max="19" width="13.88671875" bestFit="1" customWidth="1"/>
    <col min="20" max="20" width="8.6640625" bestFit="1" customWidth="1"/>
    <col min="21" max="21" width="7.33203125" bestFit="1" customWidth="1"/>
    <col min="22" max="22" width="13.88671875" bestFit="1" customWidth="1"/>
    <col min="23" max="23" width="8.6640625" bestFit="1" customWidth="1"/>
    <col min="24" max="24" width="13.88671875" bestFit="1" customWidth="1"/>
    <col min="25" max="25" width="8.6640625" bestFit="1" customWidth="1"/>
    <col min="26" max="26" width="13.88671875" bestFit="1" customWidth="1"/>
    <col min="27" max="27" width="8.6640625" bestFit="1" customWidth="1"/>
    <col min="28" max="28" width="13.88671875" bestFit="1" customWidth="1"/>
    <col min="29" max="29" width="8.6640625" bestFit="1" customWidth="1"/>
    <col min="30" max="30" width="13.88671875" bestFit="1" customWidth="1"/>
    <col min="31" max="31" width="8.6640625" bestFit="1" customWidth="1"/>
    <col min="32" max="32" width="13.88671875" bestFit="1" customWidth="1"/>
    <col min="33" max="33" width="8.6640625" bestFit="1" customWidth="1"/>
    <col min="34" max="34" width="13.88671875" bestFit="1" customWidth="1"/>
    <col min="35" max="35" width="8.6640625" bestFit="1" customWidth="1"/>
    <col min="36" max="36" width="13.88671875" bestFit="1" customWidth="1"/>
    <col min="37" max="37" width="8.6640625" bestFit="1" customWidth="1"/>
    <col min="38" max="38" width="13.88671875" bestFit="1" customWidth="1"/>
    <col min="39" max="39" width="8.6640625" bestFit="1" customWidth="1"/>
    <col min="40" max="40" width="13.88671875" bestFit="1" customWidth="1"/>
    <col min="41" max="41" width="8.6640625" bestFit="1" customWidth="1"/>
    <col min="42" max="42" width="13.88671875" bestFit="1" customWidth="1"/>
    <col min="43" max="43" width="8.6640625" bestFit="1" customWidth="1"/>
    <col min="44" max="44" width="13.88671875" bestFit="1" customWidth="1"/>
    <col min="45" max="45" width="8.6640625" bestFit="1" customWidth="1"/>
    <col min="46" max="46" width="13.88671875" bestFit="1" customWidth="1"/>
    <col min="47" max="47" width="8.6640625" bestFit="1" customWidth="1"/>
    <col min="48" max="48" width="13.88671875" bestFit="1" customWidth="1"/>
    <col min="49" max="49" width="8.6640625" bestFit="1" customWidth="1"/>
    <col min="50" max="50" width="13.88671875" bestFit="1" customWidth="1"/>
    <col min="51" max="51" width="8.6640625" bestFit="1" customWidth="1"/>
    <col min="52" max="52" width="13.88671875" bestFit="1" customWidth="1"/>
    <col min="53" max="53" width="8.6640625" bestFit="1" customWidth="1"/>
    <col min="54" max="54" width="13.88671875" bestFit="1" customWidth="1"/>
    <col min="55" max="55" width="8.6640625" bestFit="1" customWidth="1"/>
    <col min="56" max="56" width="13.88671875" bestFit="1" customWidth="1"/>
    <col min="57" max="57" width="8.6640625" bestFit="1" customWidth="1"/>
    <col min="58" max="58" width="13.88671875" bestFit="1" customWidth="1"/>
    <col min="59" max="59" width="8.6640625" bestFit="1" customWidth="1"/>
    <col min="60" max="60" width="13.88671875" bestFit="1" customWidth="1"/>
    <col min="61" max="61" width="8.6640625" bestFit="1" customWidth="1"/>
    <col min="62" max="62" width="13.88671875" bestFit="1" customWidth="1"/>
    <col min="63" max="63" width="8.6640625" bestFit="1" customWidth="1"/>
    <col min="64" max="64" width="13.88671875" bestFit="1" customWidth="1"/>
    <col min="65" max="65" width="8.6640625" bestFit="1" customWidth="1"/>
    <col min="66" max="66" width="13.88671875" bestFit="1" customWidth="1"/>
    <col min="67" max="67" width="8.6640625" bestFit="1" customWidth="1"/>
    <col min="68" max="68" width="13.88671875" bestFit="1" customWidth="1"/>
    <col min="69" max="69" width="8.6640625" bestFit="1" customWidth="1"/>
    <col min="70" max="70" width="13.88671875" bestFit="1" customWidth="1"/>
    <col min="71" max="71" width="10.21875" bestFit="1" customWidth="1"/>
    <col min="72" max="72" width="15.44140625" bestFit="1" customWidth="1"/>
    <col min="73" max="73" width="10.21875" bestFit="1" customWidth="1"/>
    <col min="74" max="74" width="15.44140625" bestFit="1" customWidth="1"/>
    <col min="75" max="75" width="10.21875" bestFit="1" customWidth="1"/>
    <col min="76" max="76" width="15.44140625" bestFit="1" customWidth="1"/>
    <col min="77" max="77" width="10.21875" bestFit="1" customWidth="1"/>
    <col min="78" max="78" width="15.44140625" bestFit="1" customWidth="1"/>
    <col min="79" max="79" width="10.21875" bestFit="1" customWidth="1"/>
    <col min="80" max="80" width="15.44140625" bestFit="1" customWidth="1"/>
    <col min="81" max="81" width="10.21875" bestFit="1" customWidth="1"/>
    <col min="82" max="82" width="15.44140625" bestFit="1" customWidth="1"/>
    <col min="83" max="83" width="10.21875" bestFit="1" customWidth="1"/>
    <col min="84" max="84" width="15.44140625" bestFit="1" customWidth="1"/>
    <col min="85" max="85" width="10.21875" bestFit="1" customWidth="1"/>
    <col min="86" max="86" width="15.44140625" bestFit="1" customWidth="1"/>
    <col min="87" max="87" width="10.21875" bestFit="1" customWidth="1"/>
    <col min="88" max="88" width="15.44140625" bestFit="1" customWidth="1"/>
    <col min="89" max="89" width="10.21875" bestFit="1" customWidth="1"/>
    <col min="90" max="90" width="15.44140625" bestFit="1" customWidth="1"/>
    <col min="91" max="91" width="10.21875" bestFit="1" customWidth="1"/>
    <col min="92" max="92" width="15.44140625" bestFit="1" customWidth="1"/>
    <col min="93" max="93" width="10.21875" bestFit="1" customWidth="1"/>
    <col min="94" max="94" width="15.44140625" bestFit="1" customWidth="1"/>
    <col min="95" max="95" width="10.21875" bestFit="1" customWidth="1"/>
    <col min="96" max="96" width="15.44140625" bestFit="1" customWidth="1"/>
    <col min="97" max="97" width="10.21875" bestFit="1" customWidth="1"/>
    <col min="98" max="98" width="15.44140625" bestFit="1" customWidth="1"/>
    <col min="99" max="99" width="10.21875" bestFit="1" customWidth="1"/>
    <col min="100" max="100" width="15.44140625" bestFit="1" customWidth="1"/>
    <col min="101" max="101" width="10.21875" bestFit="1" customWidth="1"/>
    <col min="102" max="102" width="15.44140625" bestFit="1" customWidth="1"/>
    <col min="103" max="103" width="10.21875" bestFit="1" customWidth="1"/>
    <col min="104" max="104" width="15.44140625" bestFit="1" customWidth="1"/>
    <col min="105" max="105" width="10.21875" bestFit="1" customWidth="1"/>
    <col min="106" max="106" width="15.44140625" bestFit="1" customWidth="1"/>
    <col min="107" max="107" width="10.21875" bestFit="1" customWidth="1"/>
    <col min="108" max="108" width="15.44140625" bestFit="1" customWidth="1"/>
    <col min="109" max="109" width="10.21875" bestFit="1" customWidth="1"/>
    <col min="110" max="110" width="15.44140625" bestFit="1" customWidth="1"/>
    <col min="111" max="111" width="10.21875" bestFit="1" customWidth="1"/>
    <col min="112" max="112" width="15.44140625" bestFit="1" customWidth="1"/>
    <col min="113" max="113" width="10.21875" bestFit="1" customWidth="1"/>
    <col min="114" max="114" width="15.44140625" bestFit="1" customWidth="1"/>
    <col min="115" max="115" width="10.21875" bestFit="1" customWidth="1"/>
    <col min="116" max="116" width="15.44140625" bestFit="1" customWidth="1"/>
    <col min="117" max="117" width="10.21875" bestFit="1" customWidth="1"/>
    <col min="118" max="118" width="15.44140625" bestFit="1" customWidth="1"/>
    <col min="119" max="119" width="10.21875" bestFit="1" customWidth="1"/>
    <col min="120" max="120" width="15.44140625" bestFit="1" customWidth="1"/>
    <col min="121" max="121" width="10.21875" bestFit="1" customWidth="1"/>
    <col min="122" max="122" width="15.44140625" bestFit="1" customWidth="1"/>
    <col min="123" max="123" width="10.21875" bestFit="1" customWidth="1"/>
    <col min="124" max="124" width="15.44140625" bestFit="1" customWidth="1"/>
    <col min="125" max="125" width="10.21875" bestFit="1" customWidth="1"/>
    <col min="126" max="126" width="15.44140625" bestFit="1" customWidth="1"/>
    <col min="127" max="127" width="10.21875" bestFit="1" customWidth="1"/>
    <col min="128" max="128" width="7.33203125" bestFit="1" customWidth="1"/>
    <col min="129" max="129" width="15.44140625" bestFit="1" customWidth="1"/>
    <col min="130" max="130" width="10.21875" bestFit="1" customWidth="1"/>
    <col min="131" max="131" width="15.44140625" bestFit="1" customWidth="1"/>
    <col min="132" max="132" width="10.21875" bestFit="1" customWidth="1"/>
    <col min="133" max="133" width="15.44140625" bestFit="1" customWidth="1"/>
    <col min="134" max="134" width="10.21875" bestFit="1" customWidth="1"/>
    <col min="135" max="135" width="15.44140625" bestFit="1" customWidth="1"/>
    <col min="136" max="136" width="10.21875" bestFit="1" customWidth="1"/>
    <col min="137" max="137" width="15.44140625" bestFit="1" customWidth="1"/>
    <col min="138" max="138" width="10.21875" bestFit="1" customWidth="1"/>
    <col min="139" max="139" width="15.44140625" bestFit="1" customWidth="1"/>
    <col min="140" max="140" width="10.21875" bestFit="1" customWidth="1"/>
    <col min="141" max="141" width="15.44140625" bestFit="1" customWidth="1"/>
    <col min="142" max="142" width="10.21875" bestFit="1" customWidth="1"/>
    <col min="143" max="143" width="15.44140625" bestFit="1" customWidth="1"/>
    <col min="144" max="144" width="10.21875" bestFit="1" customWidth="1"/>
    <col min="145" max="145" width="15.44140625" bestFit="1" customWidth="1"/>
    <col min="146" max="146" width="10.21875" bestFit="1" customWidth="1"/>
    <col min="147" max="147" width="15.44140625" bestFit="1" customWidth="1"/>
    <col min="148" max="148" width="10.21875" bestFit="1" customWidth="1"/>
    <col min="149" max="149" width="15.44140625" bestFit="1" customWidth="1"/>
    <col min="150" max="150" width="10.21875" bestFit="1" customWidth="1"/>
    <col min="151" max="151" width="15.44140625" bestFit="1" customWidth="1"/>
    <col min="152" max="152" width="10.21875" bestFit="1" customWidth="1"/>
    <col min="153" max="153" width="15.44140625" bestFit="1" customWidth="1"/>
    <col min="154" max="154" width="10.21875" bestFit="1" customWidth="1"/>
    <col min="155" max="155" width="15.44140625" bestFit="1" customWidth="1"/>
    <col min="156" max="156" width="10.21875" bestFit="1" customWidth="1"/>
    <col min="157" max="157" width="15.44140625" bestFit="1" customWidth="1"/>
    <col min="158" max="158" width="10.21875" bestFit="1" customWidth="1"/>
    <col min="159" max="159" width="15.44140625" bestFit="1" customWidth="1"/>
    <col min="160" max="160" width="10.21875" bestFit="1" customWidth="1"/>
    <col min="161" max="161" width="15.44140625" bestFit="1" customWidth="1"/>
    <col min="162" max="162" width="10.21875" bestFit="1" customWidth="1"/>
    <col min="163" max="163" width="15.44140625" bestFit="1" customWidth="1"/>
    <col min="164" max="164" width="10.21875" bestFit="1" customWidth="1"/>
    <col min="165" max="165" width="15.44140625" bestFit="1" customWidth="1"/>
    <col min="166" max="166" width="10.21875" bestFit="1" customWidth="1"/>
    <col min="167" max="167" width="15.44140625" bestFit="1" customWidth="1"/>
    <col min="168" max="168" width="10.21875" bestFit="1" customWidth="1"/>
    <col min="169" max="169" width="15.44140625" bestFit="1" customWidth="1"/>
    <col min="170" max="170" width="10.21875" bestFit="1" customWidth="1"/>
    <col min="171" max="171" width="15.44140625" bestFit="1" customWidth="1"/>
    <col min="172" max="172" width="10.21875" bestFit="1" customWidth="1"/>
    <col min="173" max="173" width="15.44140625" bestFit="1" customWidth="1"/>
    <col min="174" max="174" width="10.21875" bestFit="1" customWidth="1"/>
    <col min="175" max="175" width="15.44140625" bestFit="1" customWidth="1"/>
    <col min="176" max="176" width="10.21875" bestFit="1" customWidth="1"/>
    <col min="177" max="177" width="15.44140625" bestFit="1" customWidth="1"/>
    <col min="178" max="178" width="10.21875" bestFit="1" customWidth="1"/>
    <col min="179" max="179" width="15.44140625" bestFit="1" customWidth="1"/>
    <col min="180" max="180" width="10.21875" bestFit="1" customWidth="1"/>
    <col min="181" max="181" width="15.44140625" bestFit="1" customWidth="1"/>
    <col min="182" max="182" width="10.21875" bestFit="1" customWidth="1"/>
    <col min="183" max="183" width="15.44140625" bestFit="1" customWidth="1"/>
    <col min="184" max="184" width="10.21875" bestFit="1" customWidth="1"/>
    <col min="185" max="185" width="15.44140625" bestFit="1" customWidth="1"/>
    <col min="186" max="186" width="10.21875" bestFit="1" customWidth="1"/>
    <col min="187" max="187" width="15.44140625" bestFit="1" customWidth="1"/>
    <col min="188" max="188" width="10.21875" bestFit="1" customWidth="1"/>
    <col min="189" max="189" width="15.44140625" bestFit="1" customWidth="1"/>
    <col min="190" max="190" width="10.21875" bestFit="1" customWidth="1"/>
    <col min="191" max="191" width="15.44140625" bestFit="1" customWidth="1"/>
    <col min="192" max="192" width="10.21875" bestFit="1" customWidth="1"/>
    <col min="193" max="193" width="15.44140625" bestFit="1" customWidth="1"/>
    <col min="194" max="194" width="10.21875" bestFit="1" customWidth="1"/>
    <col min="195" max="195" width="15.44140625" bestFit="1" customWidth="1"/>
    <col min="196" max="196" width="10.21875" bestFit="1" customWidth="1"/>
    <col min="197" max="197" width="15.44140625" bestFit="1" customWidth="1"/>
    <col min="198" max="198" width="10.21875" bestFit="1" customWidth="1"/>
    <col min="199" max="199" width="7.33203125" bestFit="1" customWidth="1"/>
    <col min="200" max="200" width="15.44140625" bestFit="1" customWidth="1"/>
    <col min="201" max="201" width="10.21875" bestFit="1" customWidth="1"/>
    <col min="202" max="202" width="15.44140625" bestFit="1" customWidth="1"/>
    <col min="203" max="203" width="10.21875" bestFit="1" customWidth="1"/>
    <col min="204" max="204" width="15.44140625" bestFit="1" customWidth="1"/>
    <col min="205" max="205" width="10.21875" bestFit="1" customWidth="1"/>
    <col min="206" max="206" width="15.44140625" bestFit="1" customWidth="1"/>
    <col min="207" max="207" width="10.21875" bestFit="1" customWidth="1"/>
    <col min="208" max="208" width="15.44140625" bestFit="1" customWidth="1"/>
    <col min="209" max="209" width="10.21875" bestFit="1" customWidth="1"/>
    <col min="210" max="210" width="15.44140625" bestFit="1" customWidth="1"/>
    <col min="211" max="211" width="10.21875" bestFit="1" customWidth="1"/>
    <col min="212" max="212" width="15.44140625" bestFit="1" customWidth="1"/>
    <col min="213" max="213" width="10.21875" bestFit="1" customWidth="1"/>
    <col min="214" max="214" width="15.44140625" bestFit="1" customWidth="1"/>
    <col min="215" max="215" width="10.21875" bestFit="1" customWidth="1"/>
    <col min="216" max="216" width="15.44140625" bestFit="1" customWidth="1"/>
    <col min="217" max="217" width="10.21875" bestFit="1" customWidth="1"/>
    <col min="218" max="218" width="15.44140625" bestFit="1" customWidth="1"/>
    <col min="219" max="219" width="10.21875" bestFit="1" customWidth="1"/>
    <col min="220" max="220" width="15.44140625" bestFit="1" customWidth="1"/>
    <col min="221" max="221" width="10.21875" bestFit="1" customWidth="1"/>
    <col min="222" max="222" width="15.44140625" bestFit="1" customWidth="1"/>
    <col min="223" max="223" width="10.21875" bestFit="1" customWidth="1"/>
    <col min="224" max="224" width="15.44140625" bestFit="1" customWidth="1"/>
    <col min="225" max="225" width="10.21875" bestFit="1" customWidth="1"/>
    <col min="226" max="226" width="15.44140625" bestFit="1" customWidth="1"/>
    <col min="227" max="227" width="10.21875" bestFit="1" customWidth="1"/>
    <col min="228" max="228" width="15.44140625" bestFit="1" customWidth="1"/>
    <col min="229" max="229" width="10.21875" bestFit="1" customWidth="1"/>
    <col min="230" max="230" width="15.44140625" bestFit="1" customWidth="1"/>
    <col min="231" max="231" width="10.21875" bestFit="1" customWidth="1"/>
    <col min="232" max="232" width="15.44140625" bestFit="1" customWidth="1"/>
    <col min="233" max="233" width="10.21875" bestFit="1" customWidth="1"/>
    <col min="234" max="234" width="15.44140625" bestFit="1" customWidth="1"/>
    <col min="235" max="235" width="10.21875" bestFit="1" customWidth="1"/>
    <col min="236" max="236" width="15.44140625" bestFit="1" customWidth="1"/>
    <col min="237" max="237" width="10.21875" bestFit="1" customWidth="1"/>
    <col min="238" max="238" width="15.44140625" bestFit="1" customWidth="1"/>
    <col min="239" max="239" width="10.21875" bestFit="1" customWidth="1"/>
    <col min="240" max="240" width="15.44140625" bestFit="1" customWidth="1"/>
    <col min="241" max="241" width="10.21875" bestFit="1" customWidth="1"/>
    <col min="242" max="242" width="15.44140625" bestFit="1" customWidth="1"/>
    <col min="243" max="243" width="10.21875" bestFit="1" customWidth="1"/>
    <col min="244" max="244" width="15.44140625" bestFit="1" customWidth="1"/>
    <col min="245" max="245" width="10.21875" bestFit="1" customWidth="1"/>
    <col min="246" max="246" width="15.44140625" bestFit="1" customWidth="1"/>
    <col min="247" max="247" width="10.21875" bestFit="1" customWidth="1"/>
    <col min="248" max="248" width="15.44140625" bestFit="1" customWidth="1"/>
    <col min="249" max="249" width="10.21875" bestFit="1" customWidth="1"/>
    <col min="250" max="250" width="15.44140625" bestFit="1" customWidth="1"/>
    <col min="251" max="251" width="10.21875" bestFit="1" customWidth="1"/>
    <col min="252" max="252" width="15.44140625" bestFit="1" customWidth="1"/>
    <col min="253" max="253" width="10.21875" bestFit="1" customWidth="1"/>
    <col min="254" max="254" width="15.44140625" bestFit="1" customWidth="1"/>
    <col min="255" max="255" width="10.21875" bestFit="1" customWidth="1"/>
    <col min="256" max="256" width="15.44140625" bestFit="1" customWidth="1"/>
    <col min="257" max="257" width="10.21875" bestFit="1" customWidth="1"/>
    <col min="258" max="258" width="15.44140625" bestFit="1" customWidth="1"/>
    <col min="259" max="259" width="10.21875" bestFit="1" customWidth="1"/>
    <col min="260" max="260" width="15.44140625" bestFit="1" customWidth="1"/>
    <col min="261" max="261" width="10.21875" bestFit="1" customWidth="1"/>
    <col min="262" max="262" width="15.44140625" bestFit="1" customWidth="1"/>
    <col min="263" max="263" width="10.21875" bestFit="1" customWidth="1"/>
    <col min="264" max="264" width="15.44140625" bestFit="1" customWidth="1"/>
    <col min="265" max="265" width="10.21875" bestFit="1" customWidth="1"/>
    <col min="266" max="266" width="15.44140625" bestFit="1" customWidth="1"/>
    <col min="267" max="267" width="10.21875" bestFit="1" customWidth="1"/>
    <col min="268" max="268" width="15.44140625" bestFit="1" customWidth="1"/>
    <col min="269" max="269" width="10.21875" bestFit="1" customWidth="1"/>
    <col min="270" max="270" width="15.44140625" bestFit="1" customWidth="1"/>
    <col min="271" max="271" width="10.21875" bestFit="1" customWidth="1"/>
    <col min="272" max="272" width="15.44140625" bestFit="1" customWidth="1"/>
    <col min="273" max="273" width="10.21875" bestFit="1" customWidth="1"/>
    <col min="274" max="274" width="15.44140625" bestFit="1" customWidth="1"/>
    <col min="275" max="275" width="10.21875" bestFit="1" customWidth="1"/>
    <col min="276" max="276" width="15.44140625" bestFit="1" customWidth="1"/>
    <col min="277" max="277" width="10.21875" bestFit="1" customWidth="1"/>
    <col min="278" max="278" width="15.44140625" bestFit="1" customWidth="1"/>
    <col min="279" max="279" width="10.21875" bestFit="1" customWidth="1"/>
    <col min="280" max="280" width="15.44140625" bestFit="1" customWidth="1"/>
    <col min="281" max="281" width="10.21875" bestFit="1" customWidth="1"/>
    <col min="282" max="282" width="15.44140625" bestFit="1" customWidth="1"/>
    <col min="283" max="283" width="10.21875" bestFit="1" customWidth="1"/>
    <col min="284" max="284" width="15.44140625" bestFit="1" customWidth="1"/>
    <col min="285" max="285" width="10.21875" bestFit="1" customWidth="1"/>
    <col min="286" max="286" width="15.44140625" bestFit="1" customWidth="1"/>
    <col min="287" max="287" width="10.21875" bestFit="1" customWidth="1"/>
    <col min="288" max="288" width="15.44140625" bestFit="1" customWidth="1"/>
    <col min="289" max="289" width="10.21875" bestFit="1" customWidth="1"/>
    <col min="290" max="290" width="15.44140625" bestFit="1" customWidth="1"/>
    <col min="291" max="291" width="10.21875" bestFit="1" customWidth="1"/>
    <col min="292" max="292" width="15.44140625" bestFit="1" customWidth="1"/>
    <col min="293" max="293" width="10.21875" bestFit="1" customWidth="1"/>
    <col min="294" max="294" width="15.44140625" bestFit="1" customWidth="1"/>
    <col min="295" max="295" width="10.21875" bestFit="1" customWidth="1"/>
    <col min="296" max="296" width="15.44140625" bestFit="1" customWidth="1"/>
    <col min="297" max="297" width="10.21875" bestFit="1" customWidth="1"/>
    <col min="298" max="298" width="15.44140625" bestFit="1" customWidth="1"/>
    <col min="299" max="299" width="10.21875" bestFit="1" customWidth="1"/>
    <col min="300" max="300" width="15.44140625" bestFit="1" customWidth="1"/>
    <col min="301" max="301" width="10.21875" bestFit="1" customWidth="1"/>
    <col min="302" max="302" width="15.44140625" bestFit="1" customWidth="1"/>
    <col min="303" max="303" width="10.21875" bestFit="1" customWidth="1"/>
    <col min="304" max="304" width="15.44140625" bestFit="1" customWidth="1"/>
    <col min="305" max="305" width="10.21875" bestFit="1" customWidth="1"/>
    <col min="306" max="306" width="15.44140625" bestFit="1" customWidth="1"/>
    <col min="307" max="307" width="10.21875" bestFit="1" customWidth="1"/>
    <col min="308" max="308" width="15.44140625" bestFit="1" customWidth="1"/>
    <col min="309" max="309" width="10.21875" bestFit="1" customWidth="1"/>
    <col min="310" max="310" width="15.44140625" bestFit="1" customWidth="1"/>
    <col min="311" max="311" width="10.21875" bestFit="1" customWidth="1"/>
    <col min="312" max="312" width="15.44140625" bestFit="1" customWidth="1"/>
    <col min="313" max="313" width="10.21875" bestFit="1" customWidth="1"/>
    <col min="314" max="314" width="15.44140625" bestFit="1" customWidth="1"/>
    <col min="315" max="315" width="10.21875" bestFit="1" customWidth="1"/>
    <col min="316" max="316" width="15.44140625" bestFit="1" customWidth="1"/>
    <col min="317" max="317" width="10.21875" bestFit="1" customWidth="1"/>
    <col min="318" max="318" width="15.44140625" bestFit="1" customWidth="1"/>
    <col min="319" max="319" width="10.21875" bestFit="1" customWidth="1"/>
    <col min="320" max="320" width="15.44140625" bestFit="1" customWidth="1"/>
    <col min="321" max="321" width="10.21875" bestFit="1" customWidth="1"/>
    <col min="322" max="322" width="15.44140625" bestFit="1" customWidth="1"/>
    <col min="323" max="323" width="10.21875" bestFit="1" customWidth="1"/>
    <col min="324" max="324" width="15.44140625" bestFit="1" customWidth="1"/>
    <col min="325" max="325" width="10.21875" bestFit="1" customWidth="1"/>
    <col min="326" max="326" width="15.44140625" bestFit="1" customWidth="1"/>
    <col min="327" max="327" width="10.21875" bestFit="1" customWidth="1"/>
    <col min="328" max="328" width="15.44140625" bestFit="1" customWidth="1"/>
    <col min="329" max="329" width="10.21875" bestFit="1" customWidth="1"/>
    <col min="330" max="330" width="15.44140625" bestFit="1" customWidth="1"/>
    <col min="331" max="331" width="10.21875" bestFit="1" customWidth="1"/>
    <col min="332" max="332" width="15.44140625" bestFit="1" customWidth="1"/>
    <col min="333" max="333" width="10.21875" bestFit="1" customWidth="1"/>
    <col min="334" max="334" width="15.44140625" bestFit="1" customWidth="1"/>
    <col min="335" max="335" width="10.21875" bestFit="1" customWidth="1"/>
    <col min="336" max="336" width="15.44140625" bestFit="1" customWidth="1"/>
    <col min="337" max="337" width="10.21875" bestFit="1" customWidth="1"/>
    <col min="338" max="338" width="15.44140625" bestFit="1" customWidth="1"/>
    <col min="339" max="339" width="10.21875" bestFit="1" customWidth="1"/>
    <col min="340" max="340" width="15.44140625" bestFit="1" customWidth="1"/>
    <col min="341" max="341" width="10.21875" bestFit="1" customWidth="1"/>
    <col min="342" max="342" width="15.44140625" bestFit="1" customWidth="1"/>
    <col min="343" max="343" width="10.21875" bestFit="1" customWidth="1"/>
    <col min="344" max="344" width="15.44140625" bestFit="1" customWidth="1"/>
    <col min="345" max="345" width="10.21875" bestFit="1" customWidth="1"/>
    <col min="346" max="346" width="15.44140625" bestFit="1" customWidth="1"/>
    <col min="347" max="347" width="10.21875" bestFit="1" customWidth="1"/>
    <col min="348" max="348" width="15.44140625" bestFit="1" customWidth="1"/>
    <col min="349" max="349" width="10.21875" bestFit="1" customWidth="1"/>
    <col min="350" max="350" width="15.44140625" bestFit="1" customWidth="1"/>
    <col min="351" max="351" width="10.21875" bestFit="1" customWidth="1"/>
    <col min="352" max="352" width="15.44140625" bestFit="1" customWidth="1"/>
    <col min="353" max="353" width="10.21875" bestFit="1" customWidth="1"/>
    <col min="354" max="354" width="15.44140625" bestFit="1" customWidth="1"/>
    <col min="355" max="355" width="10.21875" bestFit="1" customWidth="1"/>
    <col min="356" max="356" width="15.44140625" bestFit="1" customWidth="1"/>
    <col min="357" max="357" width="10.21875" bestFit="1" customWidth="1"/>
    <col min="358" max="358" width="15.44140625" bestFit="1" customWidth="1"/>
    <col min="359" max="359" width="10.21875" bestFit="1" customWidth="1"/>
    <col min="360" max="360" width="15.44140625" bestFit="1" customWidth="1"/>
    <col min="361" max="361" width="10.21875" bestFit="1" customWidth="1"/>
    <col min="362" max="362" width="15.44140625" bestFit="1" customWidth="1"/>
    <col min="363" max="363" width="10.21875" bestFit="1" customWidth="1"/>
    <col min="364" max="364" width="15.44140625" bestFit="1" customWidth="1"/>
    <col min="365" max="365" width="10.21875" bestFit="1" customWidth="1"/>
    <col min="366" max="366" width="15.44140625" bestFit="1" customWidth="1"/>
    <col min="367" max="367" width="10.21875" bestFit="1" customWidth="1"/>
    <col min="368" max="368" width="15.44140625" bestFit="1" customWidth="1"/>
    <col min="369" max="369" width="10.21875" bestFit="1" customWidth="1"/>
    <col min="370" max="370" width="15.44140625" bestFit="1" customWidth="1"/>
    <col min="371" max="371" width="10.21875" bestFit="1" customWidth="1"/>
    <col min="372" max="372" width="15.44140625" bestFit="1" customWidth="1"/>
    <col min="373" max="373" width="10.21875" bestFit="1" customWidth="1"/>
    <col min="374" max="374" width="15.44140625" bestFit="1" customWidth="1"/>
    <col min="375" max="375" width="10.21875" bestFit="1" customWidth="1"/>
    <col min="376" max="376" width="15.44140625" bestFit="1" customWidth="1"/>
    <col min="377" max="377" width="10.21875" bestFit="1" customWidth="1"/>
    <col min="378" max="378" width="15.44140625" bestFit="1" customWidth="1"/>
    <col min="379" max="379" width="10.21875" bestFit="1" customWidth="1"/>
    <col min="380" max="380" width="15.44140625" bestFit="1" customWidth="1"/>
    <col min="381" max="381" width="10.21875" bestFit="1" customWidth="1"/>
    <col min="382" max="382" width="15.44140625" bestFit="1" customWidth="1"/>
    <col min="383" max="383" width="10.21875" bestFit="1" customWidth="1"/>
    <col min="384" max="384" width="15.44140625" bestFit="1" customWidth="1"/>
    <col min="385" max="385" width="10.21875" bestFit="1" customWidth="1"/>
    <col min="386" max="386" width="15.44140625" bestFit="1" customWidth="1"/>
    <col min="387" max="387" width="10.21875" bestFit="1" customWidth="1"/>
    <col min="388" max="388" width="15.44140625" bestFit="1" customWidth="1"/>
    <col min="389" max="389" width="10.21875" bestFit="1" customWidth="1"/>
    <col min="390" max="390" width="15.44140625" bestFit="1" customWidth="1"/>
    <col min="391" max="391" width="10.21875" bestFit="1" customWidth="1"/>
    <col min="392" max="392" width="15.44140625" bestFit="1" customWidth="1"/>
    <col min="393" max="393" width="11.88671875" bestFit="1" customWidth="1"/>
  </cols>
  <sheetData/>
  <conditionalFormatting sqref="J1:J1048576">
    <cfRule type="dataBar" priority="11">
      <dataBar showValue="0">
        <cfvo type="min"/>
        <cfvo type="max"/>
        <color rgb="FF638EC6"/>
      </dataBar>
      <extLst>
        <ext xmlns:x14="http://schemas.microsoft.com/office/spreadsheetml/2009/9/main" uri="{B025F937-C7B1-47D3-B67F-A62EFF666E3E}">
          <x14:id>{41E7004A-BC01-4C9F-92FB-A45DAE3DF580}</x14:id>
        </ext>
      </extLst>
    </cfRule>
  </conditionalFormatting>
  <conditionalFormatting sqref="K1:K1048576">
    <cfRule type="containsText" dxfId="1" priority="5" operator="containsText" text="Volatile">
      <formula>NOT(ISERROR(SEARCH("Volatile",K1)))</formula>
    </cfRule>
    <cfRule type="containsText" dxfId="0" priority="6" operator="containsText" text="Stable">
      <formula>NOT(ISERROR(SEARCH("Stable",K1)))</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1E7004A-BC01-4C9F-92FB-A45DAE3DF580}">
            <x14:dataBar minLength="0" maxLength="100" border="1" negativeBarBorderColorSameAsPositive="0">
              <x14:cfvo type="autoMin"/>
              <x14:cfvo type="autoMax"/>
              <x14:borderColor rgb="FF3B82F6"/>
              <x14:negativeFillColor rgb="FFFF0000"/>
              <x14:negativeBorderColor rgb="FFFF0000"/>
              <x14:axisColor rgb="FF000000"/>
            </x14:dataBar>
          </x14:cfRule>
          <xm:sqref>J1:J1048576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6F7D4-26A3-4AF6-974C-0AE74ABAE61F}">
  <dimension ref="B3:C9"/>
  <sheetViews>
    <sheetView workbookViewId="0">
      <selection activeCell="B4" sqref="B4"/>
    </sheetView>
  </sheetViews>
  <sheetFormatPr defaultRowHeight="14.4" x14ac:dyDescent="0.3"/>
  <cols>
    <col min="2" max="2" width="10.77734375" bestFit="1" customWidth="1"/>
    <col min="3" max="3" width="12.109375" bestFit="1" customWidth="1"/>
  </cols>
  <sheetData>
    <row r="3" spans="2:3" x14ac:dyDescent="0.3">
      <c r="B3" s="2" t="s">
        <v>2</v>
      </c>
      <c r="C3" t="s">
        <v>59</v>
      </c>
    </row>
    <row r="4" spans="2:3" x14ac:dyDescent="0.3">
      <c r="B4" s="3" t="s">
        <v>24</v>
      </c>
      <c r="C4" s="5">
        <v>128379</v>
      </c>
    </row>
    <row r="5" spans="2:3" x14ac:dyDescent="0.3">
      <c r="B5" s="3" t="s">
        <v>35</v>
      </c>
      <c r="C5" s="5">
        <v>104525</v>
      </c>
    </row>
    <row r="6" spans="2:3" x14ac:dyDescent="0.3">
      <c r="B6" s="3" t="s">
        <v>19</v>
      </c>
      <c r="C6" s="5">
        <v>124242</v>
      </c>
    </row>
    <row r="7" spans="2:3" x14ac:dyDescent="0.3">
      <c r="B7" s="3" t="s">
        <v>38</v>
      </c>
      <c r="C7" s="5">
        <v>155146</v>
      </c>
    </row>
    <row r="8" spans="2:3" x14ac:dyDescent="0.3">
      <c r="B8" s="3" t="s">
        <v>29</v>
      </c>
      <c r="C8" s="5">
        <v>90707</v>
      </c>
    </row>
    <row r="9" spans="2:3" x14ac:dyDescent="0.3">
      <c r="B9" s="3" t="s">
        <v>58</v>
      </c>
      <c r="C9" s="5">
        <v>602999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F310-0323-427E-8AE9-E0DB0A8C0461}">
  <dimension ref="B3:C16"/>
  <sheetViews>
    <sheetView workbookViewId="0">
      <selection activeCell="B3" sqref="B3"/>
    </sheetView>
  </sheetViews>
  <sheetFormatPr defaultRowHeight="14.4" x14ac:dyDescent="0.3"/>
  <cols>
    <col min="2" max="2" width="12.21875" bestFit="1" customWidth="1"/>
    <col min="3" max="3" width="12.109375" bestFit="1" customWidth="1"/>
  </cols>
  <sheetData>
    <row r="3" spans="2:3" x14ac:dyDescent="0.3">
      <c r="B3" s="2" t="s">
        <v>62</v>
      </c>
      <c r="C3" t="s">
        <v>59</v>
      </c>
    </row>
    <row r="4" spans="2:3" x14ac:dyDescent="0.3">
      <c r="B4" s="3" t="s">
        <v>47</v>
      </c>
      <c r="C4" s="5">
        <v>44262</v>
      </c>
    </row>
    <row r="5" spans="2:3" x14ac:dyDescent="0.3">
      <c r="B5" s="3" t="s">
        <v>27</v>
      </c>
      <c r="C5" s="5">
        <v>21018</v>
      </c>
    </row>
    <row r="6" spans="2:3" x14ac:dyDescent="0.3">
      <c r="B6" s="3" t="s">
        <v>52</v>
      </c>
      <c r="C6" s="5">
        <v>17758</v>
      </c>
    </row>
    <row r="7" spans="2:3" x14ac:dyDescent="0.3">
      <c r="B7" s="3" t="s">
        <v>37</v>
      </c>
      <c r="C7" s="5">
        <v>46742</v>
      </c>
    </row>
    <row r="8" spans="2:3" x14ac:dyDescent="0.3">
      <c r="B8" s="3" t="s">
        <v>40</v>
      </c>
      <c r="C8" s="5">
        <v>75772</v>
      </c>
    </row>
    <row r="9" spans="2:3" x14ac:dyDescent="0.3">
      <c r="B9" s="3" t="s">
        <v>22</v>
      </c>
      <c r="C9" s="5">
        <v>53300</v>
      </c>
    </row>
    <row r="10" spans="2:3" x14ac:dyDescent="0.3">
      <c r="B10" s="3" t="s">
        <v>53</v>
      </c>
      <c r="C10" s="5">
        <v>68355</v>
      </c>
    </row>
    <row r="11" spans="2:3" x14ac:dyDescent="0.3">
      <c r="B11" s="3" t="s">
        <v>43</v>
      </c>
      <c r="C11" s="5">
        <v>47314</v>
      </c>
    </row>
    <row r="12" spans="2:3" x14ac:dyDescent="0.3">
      <c r="B12" s="3" t="s">
        <v>55</v>
      </c>
      <c r="C12" s="5">
        <v>30513</v>
      </c>
    </row>
    <row r="13" spans="2:3" x14ac:dyDescent="0.3">
      <c r="B13" s="3" t="s">
        <v>45</v>
      </c>
      <c r="C13" s="5">
        <v>78071</v>
      </c>
    </row>
    <row r="14" spans="2:3" x14ac:dyDescent="0.3">
      <c r="B14" s="3" t="s">
        <v>56</v>
      </c>
      <c r="C14" s="5">
        <v>71280</v>
      </c>
    </row>
    <row r="15" spans="2:3" x14ac:dyDescent="0.3">
      <c r="B15" s="3" t="s">
        <v>32</v>
      </c>
      <c r="C15" s="5">
        <v>48614</v>
      </c>
    </row>
    <row r="16" spans="2:3" x14ac:dyDescent="0.3">
      <c r="B16" s="3" t="s">
        <v>58</v>
      </c>
      <c r="C16" s="5">
        <v>602999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33A19-02E9-490A-B018-A012EEF22116}">
  <dimension ref="B3:C8"/>
  <sheetViews>
    <sheetView workbookViewId="0">
      <selection activeCell="B4" sqref="B4"/>
    </sheetView>
  </sheetViews>
  <sheetFormatPr defaultRowHeight="14.4" x14ac:dyDescent="0.3"/>
  <cols>
    <col min="2" max="2" width="10.77734375" bestFit="1" customWidth="1"/>
    <col min="3" max="3" width="12.109375" bestFit="1" customWidth="1"/>
  </cols>
  <sheetData>
    <row r="3" spans="2:3" x14ac:dyDescent="0.3">
      <c r="B3" s="2" t="s">
        <v>1</v>
      </c>
      <c r="C3" t="s">
        <v>60</v>
      </c>
    </row>
    <row r="4" spans="2:3" x14ac:dyDescent="0.3">
      <c r="B4" s="3" t="s">
        <v>18</v>
      </c>
      <c r="C4" s="5">
        <v>152630.70000000001</v>
      </c>
    </row>
    <row r="5" spans="2:3" x14ac:dyDescent="0.3">
      <c r="B5" s="3" t="s">
        <v>28</v>
      </c>
      <c r="C5" s="5">
        <v>116651.56</v>
      </c>
    </row>
    <row r="6" spans="2:3" x14ac:dyDescent="0.3">
      <c r="B6" s="3" t="s">
        <v>34</v>
      </c>
      <c r="C6" s="5">
        <v>118731.08</v>
      </c>
    </row>
    <row r="7" spans="2:3" x14ac:dyDescent="0.3">
      <c r="B7" s="3" t="s">
        <v>23</v>
      </c>
      <c r="C7" s="5">
        <v>106445.84</v>
      </c>
    </row>
    <row r="8" spans="2:3" x14ac:dyDescent="0.3">
      <c r="B8" s="3" t="s">
        <v>58</v>
      </c>
      <c r="C8" s="5">
        <v>494459.18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FD2C-BB20-4720-956A-4AB49CEC7655}">
  <dimension ref="B4:C9"/>
  <sheetViews>
    <sheetView workbookViewId="0">
      <selection activeCell="B5" sqref="B5"/>
    </sheetView>
  </sheetViews>
  <sheetFormatPr defaultRowHeight="14.4" x14ac:dyDescent="0.3"/>
  <cols>
    <col min="2" max="2" width="10.77734375" bestFit="1" customWidth="1"/>
    <col min="3" max="4" width="12.109375" bestFit="1" customWidth="1"/>
    <col min="5" max="5" width="11.6640625" bestFit="1" customWidth="1"/>
    <col min="6" max="6" width="15.21875" bestFit="1" customWidth="1"/>
    <col min="7" max="7" width="16.44140625" bestFit="1" customWidth="1"/>
    <col min="8" max="8" width="20" bestFit="1" customWidth="1"/>
  </cols>
  <sheetData>
    <row r="4" spans="2:3" x14ac:dyDescent="0.3">
      <c r="B4" s="2" t="s">
        <v>2</v>
      </c>
      <c r="C4" t="s">
        <v>59</v>
      </c>
    </row>
    <row r="5" spans="2:3" x14ac:dyDescent="0.3">
      <c r="B5" s="3" t="s">
        <v>18</v>
      </c>
      <c r="C5" s="5">
        <v>186135</v>
      </c>
    </row>
    <row r="6" spans="2:3" x14ac:dyDescent="0.3">
      <c r="B6" s="3" t="s">
        <v>28</v>
      </c>
      <c r="C6" s="5">
        <v>142258</v>
      </c>
    </row>
    <row r="7" spans="2:3" x14ac:dyDescent="0.3">
      <c r="B7" s="3" t="s">
        <v>34</v>
      </c>
      <c r="C7" s="5">
        <v>144794</v>
      </c>
    </row>
    <row r="8" spans="2:3" x14ac:dyDescent="0.3">
      <c r="B8" s="3" t="s">
        <v>23</v>
      </c>
      <c r="C8" s="5">
        <v>129812</v>
      </c>
    </row>
    <row r="9" spans="2:3" x14ac:dyDescent="0.3">
      <c r="B9" s="3" t="s">
        <v>58</v>
      </c>
      <c r="C9" s="5">
        <v>602999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97C3D-1EE0-47D5-9C3E-69E1CA2EDDEF}">
  <dimension ref="B2:T27"/>
  <sheetViews>
    <sheetView showGridLines="0" tabSelected="1" zoomScale="85" zoomScaleNormal="85" workbookViewId="0">
      <selection activeCell="P17" sqref="P17"/>
    </sheetView>
  </sheetViews>
  <sheetFormatPr defaultRowHeight="14.4" x14ac:dyDescent="0.3"/>
  <cols>
    <col min="2" max="3" width="13.88671875" bestFit="1" customWidth="1"/>
    <col min="4" max="5" width="13.44140625" bestFit="1" customWidth="1"/>
    <col min="6" max="6" width="13.21875" bestFit="1" customWidth="1"/>
    <col min="8" max="8" width="12.44140625" bestFit="1" customWidth="1"/>
    <col min="11" max="11" width="5.33203125" bestFit="1" customWidth="1"/>
    <col min="12" max="12" width="13" bestFit="1" customWidth="1"/>
    <col min="17" max="17" width="12.44140625" bestFit="1" customWidth="1"/>
    <col min="19" max="19" width="12.44140625" bestFit="1" customWidth="1"/>
  </cols>
  <sheetData>
    <row r="2" spans="2:14" ht="14.4" customHeight="1" x14ac:dyDescent="0.3">
      <c r="B2" s="8" t="s">
        <v>61</v>
      </c>
      <c r="C2" s="8"/>
      <c r="D2" s="8"/>
      <c r="E2" s="8"/>
      <c r="F2" s="8"/>
      <c r="G2" s="8"/>
      <c r="H2" s="8"/>
      <c r="I2" s="8"/>
      <c r="J2" s="8"/>
      <c r="K2" s="8"/>
      <c r="L2" s="8"/>
      <c r="M2" s="8"/>
      <c r="N2" s="8"/>
    </row>
    <row r="3" spans="2:14" ht="14.4" customHeight="1" x14ac:dyDescent="0.3">
      <c r="B3" s="8"/>
      <c r="C3" s="8"/>
      <c r="D3" s="8"/>
      <c r="E3" s="8"/>
      <c r="F3" s="8"/>
      <c r="G3" s="8"/>
      <c r="H3" s="8"/>
      <c r="I3" s="8"/>
      <c r="J3" s="8"/>
      <c r="K3" s="8"/>
      <c r="L3" s="8"/>
      <c r="M3" s="8"/>
      <c r="N3" s="8"/>
    </row>
    <row r="5" spans="2:14" x14ac:dyDescent="0.3">
      <c r="M5" s="6">
        <f>D14/4</f>
        <v>0</v>
      </c>
    </row>
    <row r="6" spans="2:14" x14ac:dyDescent="0.3">
      <c r="D6" s="5">
        <f>D14</f>
        <v>0</v>
      </c>
      <c r="M6" s="6">
        <f>D14/4</f>
        <v>0</v>
      </c>
    </row>
    <row r="27" spans="20:20" x14ac:dyDescent="0.3">
      <c r="T27" s="7"/>
    </row>
  </sheetData>
  <mergeCells count="1">
    <mergeCell ref="B2:N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FD7BCF9F-513C-4D84-8190-1EA700613639}">
  <ds:schemaRefs/>
</ds:datastoreItem>
</file>

<file path=customXml/itemProps2.xml><?xml version="1.0" encoding="utf-8"?>
<ds:datastoreItem xmlns:ds="http://schemas.openxmlformats.org/officeDocument/2006/customXml" ds:itemID="{B9E9CA01-7C50-4557-916F-B5C488EC5F6F}">
  <ds:schemaRefs/>
</ds:datastoreItem>
</file>

<file path=customXml/itemProps3.xml><?xml version="1.0" encoding="utf-8"?>
<ds:datastoreItem xmlns:ds="http://schemas.openxmlformats.org/officeDocument/2006/customXml" ds:itemID="{C92A0BAB-B920-4FC9-A87C-7165F93B1AAE}">
  <ds:schemaRefs/>
</ds:datastoreItem>
</file>

<file path=customXml/itemProps4.xml><?xml version="1.0" encoding="utf-8"?>
<ds:datastoreItem xmlns:ds="http://schemas.openxmlformats.org/officeDocument/2006/customXml" ds:itemID="{5A0122AB-FB9C-4E26-9148-341743E6B6B9}">
  <ds:schemaRefs/>
</ds:datastoreItem>
</file>

<file path=customXml/itemProps5.xml><?xml version="1.0" encoding="utf-8"?>
<ds:datastoreItem xmlns:ds="http://schemas.openxmlformats.org/officeDocument/2006/customXml" ds:itemID="{6563D465-A8C5-48B8-8B30-DD5CC52CD653}">
  <ds:schemaRefs/>
</ds:datastoreItem>
</file>

<file path=customXml/itemProps6.xml><?xml version="1.0" encoding="utf-8"?>
<ds:datastoreItem xmlns:ds="http://schemas.openxmlformats.org/officeDocument/2006/customXml" ds:itemID="{224EA52D-38FF-42FE-8A73-F2B3C6E1521C}">
  <ds:schemaRefs/>
</ds:datastoreItem>
</file>

<file path=customXml/itemProps7.xml><?xml version="1.0" encoding="utf-8"?>
<ds:datastoreItem xmlns:ds="http://schemas.openxmlformats.org/officeDocument/2006/customXml" ds:itemID="{53E34559-800A-439A-95B4-DE704E6B4122}">
  <ds:schemaRefs/>
</ds:datastoreItem>
</file>

<file path=customXml/itemProps8.xml><?xml version="1.0" encoding="utf-8"?>
<ds:datastoreItem xmlns:ds="http://schemas.openxmlformats.org/officeDocument/2006/customXml" ds:itemID="{28A0F0FC-74C1-4C66-B10C-77D052AA2E19}">
  <ds:schemaRefs/>
</ds:datastoreItem>
</file>

<file path=customXml/itemProps9.xml><?xml version="1.0" encoding="utf-8"?>
<ds:datastoreItem xmlns:ds="http://schemas.openxmlformats.org/officeDocument/2006/customXml" ds:itemID="{C596A3BD-683C-47C5-BB9C-035AC05530E9}">
  <ds:schemaRefs/>
</ds:datastoreItem>
</file>

<file path=customXml/itemProps10.xml><?xml version="1.0" encoding="utf-8"?>
<ds:datastoreItem xmlns:ds="http://schemas.openxmlformats.org/officeDocument/2006/customXml" ds:itemID="{E8B1AAD3-DC0F-4890-8450-22DBCDAA9D67}">
  <ds:schemaRefs/>
</ds:datastoreItem>
</file>

<file path=customXml/itemProps11.xml><?xml version="1.0" encoding="utf-8"?>
<ds:datastoreItem xmlns:ds="http://schemas.openxmlformats.org/officeDocument/2006/customXml" ds:itemID="{DF494784-FD63-45FD-9C91-BB603F0813BC}">
  <ds:schemaRefs/>
</ds:datastoreItem>
</file>

<file path=customXml/itemProps12.xml><?xml version="1.0" encoding="utf-8"?>
<ds:datastoreItem xmlns:ds="http://schemas.openxmlformats.org/officeDocument/2006/customXml" ds:itemID="{8B091766-F202-4FA0-8E1D-508B26325628}">
  <ds:schemaRefs/>
</ds:datastoreItem>
</file>

<file path=customXml/itemProps13.xml><?xml version="1.0" encoding="utf-8"?>
<ds:datastoreItem xmlns:ds="http://schemas.openxmlformats.org/officeDocument/2006/customXml" ds:itemID="{49E9F770-A9EF-4A27-A74C-5B49ED632296}">
  <ds:schemaRefs/>
</ds:datastoreItem>
</file>

<file path=customXml/itemProps14.xml><?xml version="1.0" encoding="utf-8"?>
<ds:datastoreItem xmlns:ds="http://schemas.openxmlformats.org/officeDocument/2006/customXml" ds:itemID="{273E488B-17BE-4499-82C7-ECD589C0509D}">
  <ds:schemaRefs/>
</ds:datastoreItem>
</file>

<file path=customXml/itemProps15.xml><?xml version="1.0" encoding="utf-8"?>
<ds:datastoreItem xmlns:ds="http://schemas.openxmlformats.org/officeDocument/2006/customXml" ds:itemID="{76614A86-DCB8-4664-B296-3932D064CB15}">
  <ds:schemaRefs/>
</ds:datastoreItem>
</file>

<file path=customXml/itemProps16.xml><?xml version="1.0" encoding="utf-8"?>
<ds:datastoreItem xmlns:ds="http://schemas.openxmlformats.org/officeDocument/2006/customXml" ds:itemID="{AA9EB6F3-76C4-4471-B4FD-944008886982}">
  <ds:schemaRefs/>
</ds:datastoreItem>
</file>

<file path=customXml/itemProps17.xml><?xml version="1.0" encoding="utf-8"?>
<ds:datastoreItem xmlns:ds="http://schemas.openxmlformats.org/officeDocument/2006/customXml" ds:itemID="{2013C32C-8057-4855-865A-46649FDFB1C9}">
  <ds:schemaRefs/>
</ds:datastoreItem>
</file>

<file path=customXml/itemProps18.xml><?xml version="1.0" encoding="utf-8"?>
<ds:datastoreItem xmlns:ds="http://schemas.openxmlformats.org/officeDocument/2006/customXml" ds:itemID="{074179ED-85B7-4941-B7B8-4A195261330D}">
  <ds:schemaRefs/>
</ds:datastoreItem>
</file>

<file path=customXml/itemProps19.xml><?xml version="1.0" encoding="utf-8"?>
<ds:datastoreItem xmlns:ds="http://schemas.openxmlformats.org/officeDocument/2006/customXml" ds:itemID="{3C868BAB-425F-4B80-8415-6B15D7000932}">
  <ds:schemaRefs/>
</ds:datastoreItem>
</file>

<file path=customXml/itemProps20.xml><?xml version="1.0" encoding="utf-8"?>
<ds:datastoreItem xmlns:ds="http://schemas.openxmlformats.org/officeDocument/2006/customXml" ds:itemID="{8D05268E-36D4-4672-A3BC-94AC55ACE354}">
  <ds:schemaRefs>
    <ds:schemaRef ds:uri="http://schemas.microsoft.com/DataMashup"/>
  </ds:schemaRefs>
</ds:datastoreItem>
</file>

<file path=customXml/itemProps21.xml><?xml version="1.0" encoding="utf-8"?>
<ds:datastoreItem xmlns:ds="http://schemas.openxmlformats.org/officeDocument/2006/customXml" ds:itemID="{AE2ECD6C-4BCA-4FFF-87C5-694517B243EC}">
  <ds:schemaRefs/>
</ds:datastoreItem>
</file>

<file path=customXml/itemProps22.xml><?xml version="1.0" encoding="utf-8"?>
<ds:datastoreItem xmlns:ds="http://schemas.openxmlformats.org/officeDocument/2006/customXml" ds:itemID="{A9FF2B31-BE0A-483C-BE14-6AEB23B23173}">
  <ds:schemaRefs/>
</ds:datastoreItem>
</file>

<file path=customXml/itemProps23.xml><?xml version="1.0" encoding="utf-8"?>
<ds:datastoreItem xmlns:ds="http://schemas.openxmlformats.org/officeDocument/2006/customXml" ds:itemID="{4E5938E5-F552-43BB-9DC2-45E03B13414D}">
  <ds:schemaRefs/>
</ds:datastoreItem>
</file>

<file path=customXml/itemProps24.xml><?xml version="1.0" encoding="utf-8"?>
<ds:datastoreItem xmlns:ds="http://schemas.openxmlformats.org/officeDocument/2006/customXml" ds:itemID="{39767F5D-5365-4014-BEAB-C4FC6BFFE030}">
  <ds:schemaRefs/>
</ds:datastoreItem>
</file>

<file path=customXml/itemProps25.xml><?xml version="1.0" encoding="utf-8"?>
<ds:datastoreItem xmlns:ds="http://schemas.openxmlformats.org/officeDocument/2006/customXml" ds:itemID="{A7D3A066-7298-43AA-9B6E-5D74FF2FE1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Sheet1</vt:lpstr>
      <vt:lpstr>Pie_Chart</vt:lpstr>
      <vt:lpstr>Line_Chart</vt:lpstr>
      <vt:lpstr>Bar_Chart</vt:lpstr>
      <vt:lpstr>Column_Chart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Umesh Zampadiya</dc:creator>
  <cp:lastModifiedBy>Umesh Zampadiya</cp:lastModifiedBy>
  <dcterms:created xsi:type="dcterms:W3CDTF">2015-06-05T18:17:20Z</dcterms:created>
  <dcterms:modified xsi:type="dcterms:W3CDTF">2026-02-28T12:51:54Z</dcterms:modified>
</cp:coreProperties>
</file>